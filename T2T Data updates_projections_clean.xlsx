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d081e857f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sure of assets" sheetId="4" r:id="Rce5f21b2549e45fe"/>
    <x:sheet xmlns:r="http://schemas.openxmlformats.org/officeDocument/2006/relationships" name="Rainfall 2 - 20mm" sheetId="5" r:id="R6df578b9082742ac"/>
    <x:sheet xmlns:r="http://schemas.openxmlformats.org/officeDocument/2006/relationships" name="Bushfire" sheetId="1" r:id="R6954e60991604172"/>
    <x:sheet xmlns:r="http://schemas.openxmlformats.org/officeDocument/2006/relationships" name="Heat" sheetId="2" r:id="Rab589558baa042ff"/>
    <x:sheet xmlns:r="http://schemas.openxmlformats.org/officeDocument/2006/relationships" name="Rainfall 1 - 1 hr" sheetId="6" r:id="R1906f37f9b954d8f"/>
  </x:sheets>
</x:workbook>
</file>

<file path=xl/comments1.xml><?xml version="1.0" encoding="utf-8"?>
<x:comments xmlns:x="http://schemas.openxmlformats.org/spreadsheetml/2006/main">
  <x:authors>
    <x:author>tc={F8EF9915-A47C-471D-B4AA-F001ECFBEC07}</x:author>
    <x:author>tc={82AE2E7C-D90A-4F3D-A985-6C7A6D10C400}</x:author>
  </x:authors>
  <x:commentList>
    <x:comment ref="D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Absolute value</x:t>
        </x:r>
      </x:text>
    </x:comment>
    <x:comment ref="D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Relative change (+ from baseline number)</x:t>
        </x:r>
      </x:text>
    </x:comment>
  </x:commentList>
</x:comments>
</file>

<file path=xl/comments2.xml><?xml version="1.0" encoding="utf-8"?>
<x:comments xmlns:x="http://schemas.openxmlformats.org/spreadsheetml/2006/main">
  <x:authors>
    <x:author>tc={ADD9B15A-C192-45EE-B357-F15A4B48858E}</x:author>
    <x:author>tc={5FB45E53-30BA-4A29-81BD-D69C64BE6A02}</x:author>
  </x:authors>
  <x:commentList>
    <x:comment ref="D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Absolute value</x:t>
        </x:r>
      </x:text>
    </x:comment>
    <x:comment ref="D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Relative change (+ from baseline number)</x:t>
        </x:r>
      </x:text>
    </x:comment>
  </x:commentList>
</x:comments>
</file>

<file path=xl/comments3.xml><?xml version="1.0" encoding="utf-8"?>
<x:comments xmlns:x="http://schemas.openxmlformats.org/spreadsheetml/2006/main">
  <x:authors>
    <x:author>tc={EDA857FA-05AD-4A59-8DE9-0E3C056E0CDB}</x:author>
    <x:author>tc={1C91C3F8-E57F-4E84-9218-98663BB75F71}</x:author>
  </x:authors>
  <x:commentList>
    <x:comment ref="D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Absolute value</x:t>
        </x:r>
      </x:text>
    </x:comment>
    <x:comment ref="D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Relative change (+ from baseline number)</x:t>
        </x:r>
      </x:text>
    </x:comment>
  </x:commentList>
</x:comments>
</file>

<file path=xl/comments4.xml><?xml version="1.0" encoding="utf-8"?>
<x:comments xmlns:x="http://schemas.openxmlformats.org/spreadsheetml/2006/main">
  <x:authors>
    <x:author>tc={9BC4D26E-A441-4A3B-8DD7-068FFA981654}</x:author>
    <x:author>tc={430FF1D8-F3A9-4A67-B89B-1BCFA415E2EA}</x:author>
    <x:author>tc={8DA86F4D-61DD-438B-BBA2-8BA131423C52}</x:author>
  </x:authors>
  <x:commentList>
    <x:comment ref="C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I’ve changed the baseline from GWL 1.2  to GWL 1.5 based on minimum median value among four GWLs.</x:t>
        </x:r>
      </x:text>
    </x:comment>
    <x:comment ref="D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Absolute value</x:t>
        </x:r>
      </x:text>
    </x:comment>
    <x:comment ref="D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Relative change (+ from baseline number)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<x:sst xmlns:x="http://schemas.openxmlformats.org/spreadsheetml/2006/main">
  <x:si>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For the whole boundary area </x:t>
  </x:si>
  <x:si>
    <x:t xml:space="preserve">Climate hazard (for the baseline period) </x:t>
  </x:si>
  <x:si>
    <x:t xml:space="preserve">Assets exposed</x:t>
  </x:si>
  <x:si>
    <x:t xml:space="preserve">Roads</x:t>
  </x:si>
  <x:si>
    <x:t xml:space="preserve">Buildings</x:t>
  </x:si>
  <x:si>
    <x:t xml:space="preserve">Nominal</x:t>
  </x:si>
  <x:si>
    <x:t xml:space="preserve">Percentage</x:t>
  </x:si>
  <x:si>
    <x:t xml:space="preserve">Bushfire</x:t>
  </x:si>
  <x:si>
    <x:t xml:space="preserve">Flooding</x:t>
  </x:si>
  <x:si>
    <x:t xml:space="preserve">Per suburb </x:t>
  </x:si>
  <x:si>
    <x:t xml:space="preserve">Suburb 1: Teralba </x:t>
  </x:si>
  <x:si>
    <x:t xml:space="preserve">Climate hazard</x:t>
  </x:si>
  <x:si>
    <x:t xml:space="preserve">Suburb 2: Booragul</x:t>
  </x:si>
  <x:si>
    <x:t xml:space="preserve">Suburb 3: Marmong Point</x:t>
  </x:si>
  <x:si>
    <x:t xml:space="preserve">Suburb 4: Woodrising</x:t>
  </x:si>
  <x:si>
    <x:t xml:space="preserve">Suburb 5: Bolton Point</x:t>
  </x:si>
  <x:si>
    <x:t xml:space="preserve">Suburb 6: Fennel Bay</x:t>
  </x:si>
  <x:si>
    <x:t xml:space="preserve">Suburb 7: Fassifern</x:t>
  </x:si>
  <x:si>
    <x:t xml:space="preserve">Suburb 8: Blackalls Park</x:t>
  </x:si>
  <x:si>
    <x:t xml:space="preserve">Suburb 9: Toronto</x:t>
  </x:si>
  <x:si>
    <x:t xml:space="preserve">Baseline</x:t>
  </x:si>
  <x:si>
    <x:t xml:space="preserve">Projections</x:t>
  </x:si>
  <x:si>
    <x:t xml:space="preserve">Hazard name/ parameter</x:t>
  </x:si>
  <x:si>
    <x:t xml:space="preserve">Index</x:t>
  </x:si>
  <x:si>
    <x:t xml:space="preserve">2000 (1990-2009 average)</x:t>
  </x:si>
  <x:si>
    <x:t xml:space="preserve">Scenario: SSP2-4.5</x:t>
  </x:si>
  <x:si>
    <x:t xml:space="preserve">Scenario: SSP3-7.0</x:t>
  </x:si>
  <x:si>
    <x:t xml:space="preserve">2050 (2040-2059 average)</x:t>
  </x:si>
  <x:si>
    <x:t xml:space="preserve">2090 (2080-2099 average)</x:t>
  </x:si>
  <x:si>
    <x:t xml:space="preserve">10th percentile</x:t>
  </x:si>
  <x:si>
    <x:t xml:space="preserve">50th percentile</x:t>
  </x:si>
  <x:si>
    <x:t xml:space="preserve">90th percentile </x:t>
  </x:si>
  <x:si>
    <x:t xml:space="preserve">Rainfall</x:t>
  </x:si>
  <x:si>
    <x:t xml:space="preserve">Annual number of days with rainfall &gt;20mm</x:t>
  </x:si>
  <x:si>
    <x:t xml:space="preserve">Historical  rainfall data </x:t>
  </x:si>
  <x:si>
    <x:t xml:space="preserve">Rainfall projections data </x:t>
  </x:si>
  <x:si>
    <x:t xml:space="preserve">Year</x:t>
  </x:si>
  <x:si>
    <x:r>
      <x:t xml:space="preserve">Annual number of days with rainfall &gt;20mm across the whole Lake Macquarie region </x:t>
    </x:r>
    <x:r>
      <x:rPr>
        <x:b/>
        <x:sz val="12"/>
        <x:color theme="0"/>
        <x:rFont val="Aptos"/>
        <x:family val="2"/>
      </x:rPr>
      <x:t xml:space="preserve">(50th percentile)</x:t>
    </x:r>
  </x:si>
  <x:si>
    <x:r>
      <x:t xml:space="preserve">Projected annual number of days with rainfall &gt;20mm across the whole Lake Macquarie region (</x:t>
    </x:r>
    <x:r>
      <x:rPr>
        <x:b/>
        <x:sz val="12"/>
        <x:color rgb="FFFFFF00"/>
        <x:rFont val="Aptos"/>
        <x:family val="2"/>
      </x:rPr>
      <x:t xml:space="preserve">please populate for all dates listed below</x:t>
    </x:r>
    <x:r>
      <x:rPr>
        <x:sz val="12"/>
        <x:color theme="0"/>
        <x:rFont val="Aptos"/>
        <x:family val="2"/>
      </x:rPr>
      <x:t xml:space="preserve">)</x:t>
    </x:r>
  </x:si>
  <x:si>
    <x:t xml:space="preserve">SSP2-4.5</x:t>
  </x:si>
  <x:si>
    <x:t xml:space="preserve">SSP3-7.0</x:t>
  </x:si>
  <x:si>
    <x:r>
      <x:t xml:space="preserve">Bushfire projections - Summary table (</x:t>
    </x:r>
    <x:r>
      <x:rPr>
        <x:b/>
        <x:sz val="12"/>
        <x:color rgb="FFFFFF00"/>
        <x:rFont val="Aptos"/>
        <x:family val="2"/>
      </x:rPr>
      <x:t xml:space="preserve">to populate after year-by-year tables below</x:t>
    </x:r>
    <x:r>
      <x:rPr>
        <x:b/>
        <x:sz val="12"/>
        <x:color theme="0"/>
        <x:rFont val="Aptos"/>
        <x:family val="2"/>
      </x:rPr>
      <x:t xml:space="preserve">)</x:t>
    </x:r>
  </x:si>
  <x:si>
    <x:t xml:space="preserve">Annual number of severe fire weather days (FFDI &gt;50)</x:t>
  </x:si>
  <x:si>
    <x:t xml:space="preserve">Historical bushfire data </x:t>
  </x:si>
  <x:si>
    <x:t xml:space="preserve">Bushfire projections data </x:t>
  </x:si>
  <x:si>
    <x:r>
      <x:t xml:space="preserve">Annual number of severe fire weather days (FFDI &gt;50) across the whole Lake Macquarie region</x:t>
    </x:r>
    <x:r>
      <x:rPr>
        <x:b/>
        <x:sz val="12"/>
        <x:color theme="0"/>
        <x:rFont val="Aptos"/>
        <x:family val="2"/>
      </x:rPr>
      <x:t xml:space="preserve"> (50th percentile)</x:t>
    </x:r>
  </x:si>
  <x:si>
    <x:r>
      <x:t xml:space="preserve">Projected annual number of severe fire weather days (FFDI &gt;50) across the whole Lake Macquarie region (</x:t>
    </x:r>
    <x:r>
      <x:rPr>
        <x:b/>
        <x:sz val="12"/>
        <x:color rgb="FFFFFF00"/>
        <x:rFont val="Aptos"/>
        <x:family val="2"/>
      </x:rPr>
      <x:t xml:space="preserve">please populate for all dates listed below</x:t>
    </x:r>
    <x:r>
      <x:rPr>
        <x:sz val="12"/>
        <x:color theme="0"/>
        <x:rFont val="Aptos"/>
        <x:family val="2"/>
      </x:rPr>
      <x:t xml:space="preserve">)</x:t>
    </x:r>
  </x:si>
  <x:si>
    <x:r>
      <x:rPr>
        <x:b/>
        <x:sz val="12"/>
        <x:color rgb="FFFFFFFF"/>
        <x:rFont val="Aptos"/>
      </x:rPr>
      <x:t xml:space="preserve">Heat projections - Summary table (</x:t>
    </x:r>
    <x:r>
      <x:rPr>
        <x:b/>
        <x:sz val="12"/>
        <x:color rgb="FFFFFF00"/>
        <x:rFont val="Aptos"/>
      </x:rPr>
      <x:t xml:space="preserve">to populate after year-by-year tables below)</x:t>
    </x:r>
  </x:si>
  <x:si>
    <x:t xml:space="preserve">Hazard name</x:t>
  </x:si>
  <x:si>
    <x:t xml:space="preserve">2009-2024 average</x:t>
  </x:si>
  <x:si>
    <x:t xml:space="preserve">Heat</x:t>
  </x:si>
  <x:si>
    <x:r>
      <x:t xml:space="preserve">Annual number of days where maximum temperature is greater than or equal to 35</x:t>
    </x:r>
    <x:r>
      <x:rPr>
        <x:sz val="12"/>
        <x:color rgb="FF000000"/>
        <x:rFont val="Aptos Narrow"/>
        <x:family val="2"/>
      </x:rPr>
      <x:t xml:space="preserve">°</x:t>
    </x:r>
    <x:r>
      <x:rPr>
        <x:sz val="12"/>
        <x:color rgb="FF000000"/>
        <x:rFont val="Aptos"/>
        <x:family val="2"/>
      </x:rPr>
      <x:t xml:space="preserve">C</x:t>
    </x:r>
  </x:si>
  <x:si>
    <x:t xml:space="preserve">Hiistorical heat data</x:t>
  </x:si>
  <x:si>
    <x:t xml:space="preserve">Heat projections data </x:t>
  </x:si>
  <x:si>
    <x:t xml:space="preserve">Observed/recorded annual number of days where maximum temperature was greater than or equal to 35°C</x:t>
  </x:si>
  <x:si>
    <x:r>
      <x:t xml:space="preserve">Projected annual number of days where maximum temperature is greater than or equal to 35°C (</x:t>
    </x:r>
    <x:r>
      <x:rPr>
        <x:b/>
        <x:sz val="12"/>
        <x:color rgb="FFFFFF00"/>
        <x:rFont val="Aptos"/>
        <x:family val="2"/>
      </x:rPr>
      <x:t xml:space="preserve">please populate for all dates listed below</x:t>
    </x:r>
    <x:r>
      <x:rPr>
        <x:sz val="12"/>
        <x:color theme="0"/>
        <x:rFont val="Aptos"/>
        <x:family val="2"/>
      </x:rPr>
      <x:t xml:space="preserve">)</x:t>
    </x:r>
  </x:si>
  <x:si>
    <x:t xml:space="preserve">Rainfall 1 Projections - Summary table </x:t>
  </x:si>
  <x:si>
    <x:t xml:space="preserve">GWL 1.5</x:t>
  </x:si>
  <x:si>
    <x:t xml:space="preserve">GWL 1.2</x:t>
  </x:si>
  <x:si>
    <x:t xml:space="preserve">GWL 2.0</x:t>
  </x:si>
  <x:si>
    <x:t xml:space="preserve">GWL 3.0</x:t>
  </x:si>
  <x:si>
    <x:t xml:space="preserve">Maximum 1 hour precipitation</x:t>
  </x:si>
  <x:si>
    <x:t xml:space="preserve">Projected maximum 1 hour precipitation across the whole Lake Macquarie region</x:t>
  </x:si>
</x:sst>
</file>

<file path=xl/styles.xml><?xml version="1.0" encoding="utf-8"?>
<x:styleSheet xmlns:x="http://schemas.openxmlformats.org/spreadsheetml/2006/main">
  <x:numFmts count="4">
    <x:numFmt numFmtId="200" formatCode="0.00"/>
    <x:numFmt numFmtId="201" formatCode="0.0%"/>
    <x:numFmt numFmtId="202" formatCode="0.000000"/>
    <x:numFmt numFmtId="203" formatCode="#,##0"/>
  </x:numFmts>
  <x:fonts count="17">
    <x:font>
      <x:sz val="11"/>
      <x:color theme="1"/>
      <x:name val="Aptos Narrow"/>
    </x:font>
    <x:font>
      <x:sz val="12"/>
      <x:color rgb="FF000000"/>
      <x:name val="Aptos"/>
    </x:font>
    <x:font>
      <x:sz val="12"/>
      <x:color theme="1"/>
      <x:name val="Aptos"/>
    </x:font>
    <x:font>
      <x:sz val="12"/>
      <x:color theme="0"/>
      <x:name val="Aptos"/>
    </x:font>
    <x:font>
      <x:b/>
      <x:sz val="14"/>
      <x:color rgb="FF000000"/>
      <x:name val="Aptos"/>
    </x:font>
    <x:font>
      <x:b/>
      <x:sz val="14"/>
      <x:color theme="1"/>
      <x:name val="Aptos"/>
    </x:font>
    <x:font>
      <x:sz val="12"/>
      <x:color rgb="FF000000"/>
      <x:name val="Aptos Narrow"/>
    </x:font>
    <x:font>
      <x:sz val="8"/>
      <x:name val="Aptos Narrow"/>
    </x:font>
    <x:font>
      <x:b/>
      <x:sz val="12"/>
      <x:color theme="0"/>
      <x:name val="Aptos"/>
    </x:font>
    <x:font>
      <x:b/>
      <x:sz val="12"/>
      <x:color rgb="FFFFFF00"/>
      <x:name val="Aptos"/>
    </x:font>
    <x:font>
      <x:b/>
      <x:sz val="12"/>
      <x:color rgb="FFFFFFFF"/>
      <x:name val="Aptos"/>
    </x:font>
    <x:font>
      <x:b/>
      <x:sz val="12"/>
      <x:color rgb="FFFFFF00"/>
      <x:name val="Aptos"/>
    </x:font>
    <x:font>
      <x:b/>
      <x:sz val="12"/>
      <x:color theme="0"/>
      <x:name val="Aptos"/>
    </x:font>
    <x:font>
      <x:i/>
      <x:sz val="12"/>
      <x:color rgb="FF000000"/>
      <x:name val="Aptos"/>
    </x:font>
    <x:font>
      <x:b/>
      <x:sz val="11"/>
      <x:color rgb="FFFFFFFF"/>
      <x:name val="Aptos Narrow"/>
    </x:font>
    <x:font>
      <x:b/>
      <x:sz val="11"/>
      <x:color rgb="FF000000"/>
      <x:name val="Aptos Narrow"/>
    </x:font>
    <x:font>
      <x:b/>
      <x:sz val="11"/>
      <x:color theme="1"/>
      <x:name val="Aptos Narrow"/>
    </x:font>
  </x:fonts>
  <x:fills count="12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002060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8" tint="-0.2499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39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theme="0"/>
      </x:right>
      <x:top style="thin">
        <x:color theme="0"/>
      </x:top>
      <x:bottom style="thin">
        <x:color theme="0"/>
      </x:bottom>
    </x:border>
    <x:border>
      <x:left style="thin">
        <x:color indexed="64"/>
      </x:left>
      <x:right style="thin">
        <x:color theme="0"/>
      </x:right>
      <x:top style="thin">
        <x:color indexed="64"/>
      </x:top>
      <x:bottom style="thin">
        <x:color theme="0"/>
      </x:bottom>
    </x:border>
    <x:border>
      <x:left style="thin">
        <x:color theme="0"/>
      </x:left>
      <x:right style="thin">
        <x:color theme="0"/>
      </x:right>
      <x:top style="thin">
        <x:color indexed="64"/>
      </x:top>
      <x:bottom style="thin">
        <x:color theme="0"/>
      </x:bottom>
    </x:border>
    <x:border>
      <x:left style="thin">
        <x:color theme="0"/>
      </x:left>
      <x:right style="thin">
        <x:color indexed="64"/>
      </x:right>
      <x:top style="thin">
        <x:color indexed="64"/>
      </x:top>
      <x:bottom style="thin">
        <x:color theme="0"/>
      </x:bottom>
    </x:border>
    <x:border>
      <x:left style="thin">
        <x:color indexed="64"/>
      </x:left>
      <x:right style="thin">
        <x:color theme="0"/>
      </x:right>
      <x:top style="thin">
        <x:color theme="0"/>
      </x:top>
      <x:bottom style="thin">
        <x:color theme="0"/>
      </x:bottom>
    </x:border>
    <x:border>
      <x:left style="thin">
        <x:color theme="0"/>
      </x:left>
      <x:right style="thin">
        <x:color indexed="64"/>
      </x:right>
      <x:top style="thin">
        <x:color theme="0"/>
      </x:top>
      <x:bottom style="thin">
        <x:color theme="0"/>
      </x:bottom>
    </x:border>
    <x:border>
      <x:left style="thin">
        <x:color theme="0"/>
      </x:left>
      <x:right style="thin">
        <x:color theme="0"/>
      </x:right>
      <x:top style="thin">
        <x:color theme="0"/>
      </x:top>
    </x:border>
    <x:border>
      <x:right style="thin">
        <x:color theme="0"/>
      </x:right>
      <x:top style="thin">
        <x:color indexed="64"/>
      </x:top>
      <x:bottom style="thin">
        <x:color theme="0"/>
      </x:bottom>
    </x:border>
    <x:border>
      <x:left style="thin">
        <x:color indexed="64"/>
      </x:left>
      <x:right style="thin">
        <x:color theme="0"/>
      </x:right>
      <x:top style="thin">
        <x:color theme="0"/>
      </x:top>
      <x:bottom style="thin">
        <x:color indexed="64"/>
      </x:bottom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indexed="64"/>
      </x:bottom>
    </x:border>
    <x:border>
      <x:left style="thin">
        <x:color theme="0"/>
      </x:left>
      <x:right style="thin">
        <x:color indexed="64"/>
      </x:right>
      <x:top style="thin">
        <x:color theme="0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theme="0"/>
      </x:left>
      <x:top style="thin">
        <x:color theme="0"/>
      </x:top>
      <x:bottom style="thin">
        <x:color theme="0"/>
      </x:bottom>
    </x:border>
    <x:border>
      <x:left style="thin">
        <x:color theme="0"/>
      </x:left>
      <x:top style="thin">
        <x:color indexed="64"/>
      </x:top>
      <x:bottom style="thin">
        <x:color theme="0"/>
      </x:bottom>
    </x:border>
    <x:border>
      <x:top style="thin">
        <x:color indexed="64"/>
      </x:top>
      <x:bottom style="thin">
        <x:color theme="0"/>
      </x:bottom>
    </x:border>
    <x:border>
      <x:right style="thin">
        <x:color indexed="64"/>
      </x:right>
      <x:top style="thin">
        <x:color indexed="64"/>
      </x:top>
      <x:bottom style="thin">
        <x:color theme="0"/>
      </x:bottom>
    </x:border>
    <x:border>
      <x:right style="thin">
        <x:color theme="0"/>
      </x:right>
      <x:top style="thin">
        <x:color theme="0"/>
      </x:top>
    </x:border>
    <x:border>
      <x:left style="thin">
        <x:color theme="0"/>
      </x:left>
      <x:right style="thin">
        <x:color theme="0"/>
      </x:right>
      <x:bottom style="thin">
        <x:color theme="0"/>
      </x:bottom>
    </x:border>
    <x:border>
      <x:left style="thin">
        <x:color theme="0"/>
      </x:left>
      <x:right style="thin">
        <x:color theme="0"/>
      </x:right>
    </x:border>
    <x:border>
      <x:right style="thin">
        <x:color theme="0"/>
      </x:right>
    </x:border>
    <x:border>
      <x:right style="thin">
        <x:color indexed="64"/>
      </x:right>
    </x:border>
    <x:border>
      <x:left style="thin">
        <x:color theme="0"/>
      </x:left>
      <x:bottom style="thin">
        <x:color theme="0"/>
      </x:bottom>
    </x:border>
    <x:border>
      <x:bottom style="thin">
        <x:color theme="0"/>
      </x:bottom>
    </x:border>
    <x:border>
      <x:right style="thin">
        <x:color indexed="64"/>
      </x:right>
      <x:bottom style="thin">
        <x:color theme="0"/>
      </x:bottom>
    </x:border>
    <x:border>
      <x:right style="thin">
        <x:color theme="0"/>
      </x:right>
      <x:bottom style="thin">
        <x:color indexed="64"/>
      </x:bottom>
    </x:border>
    <x:border>
      <x:left style="thin">
        <x:color theme="0"/>
      </x:left>
      <x:right style="thin">
        <x:color theme="0"/>
      </x:right>
      <x:bottom style="thin">
        <x:color indexed="64"/>
      </x:bottom>
    </x:border>
    <x:border>
      <x:left style="thin">
        <x:color indexed="64"/>
      </x:left>
      <x:right style="thin">
        <x:color theme="0"/>
      </x:right>
      <x:bottom style="thin">
        <x:color theme="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theme="0"/>
      </x:top>
      <x:bottom style="thin">
        <x:color indexed="64"/>
      </x:bottom>
    </x:border>
    <x:border>
      <x:top style="thin">
        <x:color theme="0"/>
      </x:top>
      <x:bottom style="thin">
        <x:color theme="0"/>
      </x:bottom>
    </x:border>
    <x:border>
      <x:right style="thin">
        <x:color indexed="64"/>
      </x:right>
      <x:top style="thin">
        <x:color theme="0"/>
      </x:top>
      <x:bottom style="thin">
        <x:color theme="0"/>
      </x:bottom>
    </x:border>
    <x:border>
      <x:left style="thin">
        <x:color indexed="64"/>
      </x:left>
    </x:border>
    <x:border>
      <x:left style="thin">
        <x:color theme="0"/>
      </x:left>
      <x:top style="thin">
        <x:color theme="0"/>
      </x:top>
      <x:bottom style="thin">
        <x:color indexed="64"/>
      </x:bottom>
    </x:border>
  </x:borders>
  <x:cellStyleXfs count="1">
    <x:xf numFmtId="0" fontId="0" fillId="0" borderId="0"/>
  </x:cellStyleXfs>
  <x:cellXfs count="131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vertical="center" wrapText="1"/>
    </x:xf>
    <x:xf numFmtId="0" fontId="0" fillId="0" borderId="1" xfId="0" applyBorder="1"/>
    <x:xf numFmtId="0" fontId="2" fillId="0" borderId="0" xfId="0" applyFont="1"/>
    <x:xf numFmtId="0" fontId="2" fillId="0" borderId="1" xfId="0" applyFont="1" applyBorder="1"/>
    <x:xf numFmtId="0" fontId="2" fillId="0" borderId="1" xfId="0" applyFont="1" applyBorder="1" applyAlignment="1">
      <x:alignment horizontal="center"/>
    </x:xf>
    <x:xf numFmtId="0" fontId="1" fillId="0" borderId="5" xfId="0" applyFont="1" applyBorder="1" applyAlignment="1">
      <x:alignment horizontal="center" vertical="center" wrapText="1"/>
    </x:xf>
    <x:xf numFmtId="0" fontId="1" fillId="0" borderId="5" xfId="0" applyFont="1" applyBorder="1" applyAlignment="1">
      <x:alignment vertical="center" wrapText="1"/>
    </x:xf>
    <x:xf numFmtId="0" fontId="3" fillId="2" borderId="12" xfId="0" applyFont="1" applyFill="1" applyBorder="1" applyAlignment="1">
      <x:alignment horizontal="center" vertical="center" wrapText="1"/>
    </x:xf>
    <x:xf numFmtId="0" fontId="3" fillId="2" borderId="15" xfId="0" applyFont="1" applyFill="1" applyBorder="1" applyAlignment="1">
      <x:alignment horizontal="center" vertical="center" wrapText="1"/>
    </x:xf>
    <x:xf numFmtId="0" fontId="3" fillId="2" borderId="16" xfId="0" applyFont="1" applyFill="1" applyBorder="1" applyAlignment="1">
      <x:alignment horizontal="center" vertical="center" wrapText="1"/>
    </x:xf>
    <x:xf numFmtId="0" fontId="5" fillId="0" borderId="0" xfId="0" applyFont="1"/>
    <x:xf numFmtId="0" fontId="4" fillId="0" borderId="0" xfId="0" applyFont="1" applyAlignment="1">
      <x:alignment horizontal="left" vertical="center" wrapText="1"/>
    </x:xf>
    <x:xf numFmtId="0" fontId="3" fillId="3" borderId="23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vertical="top" wrapText="1"/>
    </x:xf>
    <x:xf numFmtId="0" fontId="1" fillId="0" borderId="0" xfId="0" applyFont="1" applyAlignment="1">
      <x:alignment vertical="center" wrapText="1"/>
    </x:xf>
    <x:xf numFmtId="0" fontId="3" fillId="4" borderId="15" xfId="0" applyFont="1" applyFill="1" applyBorder="1" applyAlignment="1">
      <x:alignment horizontal="center" vertical="center" wrapText="1"/>
    </x:xf>
    <x:xf numFmtId="0" fontId="3" fillId="5" borderId="15" xfId="0" applyFont="1" applyFill="1" applyBorder="1" applyAlignment="1">
      <x:alignment horizontal="center" vertical="center" wrapText="1"/>
    </x:xf>
    <x:xf numFmtId="0" fontId="3" fillId="5" borderId="16" xfId="0" applyFont="1" applyFill="1" applyBorder="1" applyAlignment="1">
      <x:alignment horizontal="center" vertical="center" wrapText="1"/>
    </x:xf>
    <x:xf numFmtId="0" fontId="3" fillId="2" borderId="16" xfId="0" applyFont="1" applyFill="1" applyBorder="1" applyAlignment="1">
      <x:alignment horizontal="center" vertical="center" wrapText="1"/>
    </x:xf>
    <x:xf numFmtId="0" fontId="3" fillId="2" borderId="34" xfId="0" applyFont="1" applyFill="1" applyBorder="1" applyAlignment="1">
      <x:alignment horizontal="center" vertical="center"/>
    </x:xf>
    <x:xf numFmtId="0" fontId="3" fillId="3" borderId="4" xfId="0" applyFont="1" applyFill="1" applyBorder="1" applyAlignment="1">
      <x:alignment horizontal="center" vertical="center" wrapText="1"/>
    </x:xf>
    <x:xf numFmtId="0" fontId="2" fillId="0" borderId="0" xfId="0" applyFont="1" applyAlignment="1">
      <x:alignment horizontal="center"/>
    </x:xf>
    <x:xf numFmtId="1" fontId="2" fillId="0" borderId="1" xfId="0" applyNumberFormat="1" applyFont="1" applyBorder="1" applyAlignment="1">
      <x:alignment horizontal="center"/>
    </x:xf>
    <x:xf numFmtId="0" fontId="3" fillId="2" borderId="14" xfId="0" applyFont="1" applyFill="1" applyBorder="1" applyAlignment="1">
      <x:alignment vertical="center"/>
    </x:xf>
    <x:xf numFmtId="0" fontId="3" fillId="6" borderId="15" xfId="0" applyFont="1" applyFill="1" applyBorder="1" applyAlignment="1">
      <x:alignment horizontal="center" vertical="center" wrapText="1"/>
    </x:xf>
    <x:xf numFmtId="0" fontId="3" fillId="6" borderId="16" xfId="0" applyFont="1" applyFill="1" applyBorder="1" applyAlignment="1">
      <x:alignment horizontal="center" vertical="center" wrapText="1"/>
    </x:xf>
    <x:xf numFmtId="0" fontId="3" fillId="5" borderId="38" xfId="0" applyFont="1" applyFill="1" applyBorder="1" applyAlignment="1">
      <x:alignment horizontal="center" vertical="center" wrapText="1"/>
    </x:xf>
    <x:xf numFmtId="0" fontId="3" fillId="2" borderId="10" xfId="0" applyFont="1" applyFill="1" applyBorder="1" applyAlignment="1">
      <x:alignment horizontal="center" vertical="center"/>
    </x:xf>
    <x:xf numFmtId="0" fontId="3" fillId="2" borderId="14" xfId="0" applyFont="1" applyFill="1" applyBorder="1" applyAlignment="1">
      <x:alignment horizontal="center" vertical="center"/>
    </x:xf>
    <x:xf numFmtId="0" fontId="3" fillId="2" borderId="4" xfId="0" applyFont="1" applyFill="1" applyBorder="1" applyAlignment="1">
      <x:alignment horizontal="center" vertical="center" wrapText="1"/>
    </x:xf>
    <x:xf numFmtId="0" fontId="3" fillId="2" borderId="11" xfId="0" applyFont="1" applyFill="1" applyBorder="1" applyAlignment="1">
      <x:alignment horizontal="center" vertical="center" wrapText="1"/>
    </x:xf>
    <x:xf numFmtId="0" fontId="3" fillId="4" borderId="4" xfId="0" applyFont="1" applyFill="1" applyBorder="1" applyAlignment="1">
      <x:alignment horizontal="center" vertical="center" wrapText="1"/>
    </x:xf>
    <x:xf numFmtId="0" fontId="3" fillId="5" borderId="4" xfId="0" applyFont="1" applyFill="1" applyBorder="1" applyAlignment="1">
      <x:alignment horizontal="center" vertical="center" wrapText="1"/>
    </x:xf>
    <x:xf numFmtId="0" fontId="3" fillId="5" borderId="11" xfId="0" applyFont="1" applyFill="1" applyBorder="1" applyAlignment="1">
      <x:alignment horizontal="center" vertical="center" wrapText="1"/>
    </x:xf>
    <x:xf numFmtId="0" fontId="3" fillId="5" borderId="4" xfId="0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8" fillId="3" borderId="33" xfId="0" applyFont="1" applyFill="1" applyBorder="1" applyAlignment="1">
      <x:alignment horizontal="center" vertical="center" wrapText="1"/>
    </x:xf>
    <x:xf numFmtId="0" fontId="8" fillId="3" borderId="37" xfId="0" applyFont="1" applyFill="1" applyBorder="1" applyAlignment="1">
      <x:alignment horizontal="center" vertical="center" wrapText="1"/>
    </x:xf>
    <x:xf numFmtId="0" fontId="8" fillId="3" borderId="0" xfId="0" applyFont="1" applyFill="1" applyAlignment="1">
      <x:alignment horizontal="center" vertical="center" wrapText="1"/>
    </x:xf>
    <x:xf numFmtId="0" fontId="8" fillId="3" borderId="26" xfId="0" applyFont="1" applyFill="1" applyBorder="1" applyAlignment="1">
      <x:alignment horizontal="center" vertical="center" wrapText="1"/>
    </x:xf>
    <x:xf numFmtId="0" fontId="12" fillId="3" borderId="27" xfId="0" applyFont="1" applyFill="1" applyBorder="1" applyAlignment="1">
      <x:alignment horizontal="left" vertical="center" wrapText="1"/>
    </x:xf>
    <x:xf numFmtId="0" fontId="8" fillId="3" borderId="28" xfId="0" applyFont="1" applyFill="1" applyBorder="1" applyAlignment="1">
      <x:alignment horizontal="left" vertical="center" wrapText="1"/>
    </x:xf>
    <x:xf numFmtId="0" fontId="8" fillId="3" borderId="29" xfId="0" applyFont="1" applyFill="1" applyBorder="1" applyAlignment="1">
      <x:alignment horizontal="left" vertical="center" wrapText="1"/>
    </x:xf>
    <x:xf numFmtId="0" fontId="3" fillId="3" borderId="32" xfId="0" applyFont="1" applyFill="1" applyBorder="1" applyAlignment="1">
      <x:alignment horizontal="center" vertical="center" wrapText="1"/>
    </x:xf>
    <x:xf numFmtId="0" fontId="3" fillId="3" borderId="23" xfId="0" applyFont="1" applyFill="1" applyBorder="1" applyAlignment="1">
      <x:alignment horizontal="center" vertical="center" wrapText="1"/>
    </x:xf>
    <x:xf numFmtId="0" fontId="3" fillId="3" borderId="18" xfId="0" applyFont="1" applyFill="1" applyBorder="1" applyAlignment="1">
      <x:alignment horizontal="center" vertical="center" wrapText="1"/>
    </x:xf>
    <x:xf numFmtId="0" fontId="3" fillId="3" borderId="35" xfId="0" applyFont="1" applyFill="1" applyBorder="1" applyAlignment="1">
      <x:alignment horizontal="center" vertical="center" wrapText="1"/>
    </x:xf>
    <x:xf numFmtId="0" fontId="3" fillId="3" borderId="36" xfId="0" applyFont="1" applyFill="1" applyBorder="1" applyAlignment="1">
      <x:alignment horizontal="center" vertical="center" wrapText="1"/>
    </x:xf>
    <x:xf numFmtId="0" fontId="3" fillId="2" borderId="22" xfId="0" applyFont="1" applyFill="1" applyBorder="1" applyAlignment="1">
      <x:alignment horizontal="center" vertical="center" wrapText="1"/>
    </x:xf>
    <x:xf numFmtId="0" fontId="3" fillId="2" borderId="25" xfId="0" applyFont="1" applyFill="1" applyBorder="1" applyAlignment="1">
      <x:alignment horizontal="center" vertical="center" wrapText="1"/>
    </x:xf>
    <x:xf numFmtId="0" fontId="3" fillId="2" borderId="30" xfId="0" applyFont="1" applyFill="1" applyBorder="1" applyAlignment="1">
      <x:alignment horizontal="center" vertical="center" wrapText="1"/>
    </x:xf>
    <x:xf numFmtId="0" fontId="3" fillId="2" borderId="12" xfId="0" applyFont="1" applyFill="1" applyBorder="1" applyAlignment="1">
      <x:alignment horizontal="center" vertical="center" wrapText="1"/>
    </x:xf>
    <x:xf numFmtId="0" fontId="3" fillId="2" borderId="24" xfId="0" applyFont="1" applyFill="1" applyBorder="1" applyAlignment="1">
      <x:alignment horizontal="center" vertical="center" wrapText="1"/>
    </x:xf>
    <x:xf numFmtId="0" fontId="3" fillId="2" borderId="31" xfId="0" applyFont="1" applyFill="1" applyBorder="1" applyAlignment="1">
      <x:alignment horizontal="center" vertical="center" wrapText="1"/>
    </x:xf>
    <x:xf numFmtId="0" fontId="3" fillId="4" borderId="18" xfId="0" applyFont="1" applyFill="1" applyBorder="1" applyAlignment="1">
      <x:alignment horizontal="center" vertical="center" wrapText="1"/>
    </x:xf>
    <x:xf numFmtId="0" fontId="3" fillId="4" borderId="35" xfId="0" applyFont="1" applyFill="1" applyBorder="1" applyAlignment="1">
      <x:alignment horizontal="center" vertical="center" wrapText="1"/>
    </x:xf>
    <x:xf numFmtId="0" fontId="3" fillId="4" borderId="6" xfId="0" applyFont="1" applyFill="1" applyBorder="1" applyAlignment="1">
      <x:alignment horizontal="center" vertical="center" wrapText="1"/>
    </x:xf>
    <x:xf numFmtId="0" fontId="3" fillId="5" borderId="18" xfId="0" applyFont="1" applyFill="1" applyBorder="1" applyAlignment="1">
      <x:alignment horizontal="center" vertical="center" wrapText="1"/>
    </x:xf>
    <x:xf numFmtId="0" fontId="3" fillId="5" borderId="35" xfId="0" applyFont="1" applyFill="1" applyBorder="1" applyAlignment="1">
      <x:alignment horizontal="center" vertical="center" wrapText="1"/>
    </x:xf>
    <x:xf numFmtId="0" fontId="3" fillId="5" borderId="36" xfId="0" applyFont="1" applyFill="1" applyBorder="1" applyAlignment="1">
      <x:alignment horizontal="center" vertical="center" wrapText="1"/>
    </x:xf>
    <x:xf numFmtId="0" fontId="3" fillId="4" borderId="4" xfId="0" applyFont="1" applyFill="1" applyBorder="1" applyAlignment="1">
      <x:alignment horizontal="center" vertical="center" wrapText="1"/>
    </x:xf>
    <x:xf numFmtId="0" fontId="3" fillId="5" borderId="11" xfId="0" applyFont="1" applyFill="1" applyBorder="1" applyAlignment="1">
      <x:alignment horizontal="center" vertical="center" wrapText="1"/>
    </x:xf>
    <x:xf numFmtId="0" fontId="3" fillId="3" borderId="7" xfId="0" applyFont="1" applyFill="1" applyBorder="1" applyAlignment="1">
      <x:alignment horizontal="center" vertical="center" wrapText="1"/>
    </x:xf>
    <x:xf numFmtId="0" fontId="3" fillId="3" borderId="10" xfId="0" applyFont="1" applyFill="1" applyBorder="1" applyAlignment="1">
      <x:alignment horizontal="center" vertical="center" wrapText="1"/>
    </x:xf>
    <x:xf numFmtId="0" fontId="3" fillId="3" borderId="14" xfId="0" applyFont="1" applyFill="1" applyBorder="1" applyAlignment="1">
      <x:alignment horizontal="center" vertical="center" wrapText="1"/>
    </x:xf>
    <x:xf numFmtId="0" fontId="3" fillId="3" borderId="13" xfId="0" applyFont="1" applyFill="1" applyBorder="1" applyAlignment="1">
      <x:alignment horizontal="center" vertical="center" wrapText="1"/>
    </x:xf>
    <x:xf numFmtId="0" fontId="3" fillId="3" borderId="8" xfId="0" applyFont="1" applyFill="1" applyBorder="1" applyAlignment="1">
      <x:alignment horizontal="center" vertical="center" wrapText="1"/>
    </x:xf>
    <x:xf numFmtId="0" fontId="3" fillId="3" borderId="9" xfId="0" applyFont="1" applyFill="1" applyBorder="1" applyAlignment="1">
      <x:alignment horizontal="center" vertical="center" wrapText="1"/>
    </x:xf>
    <x:xf numFmtId="0" fontId="3" fillId="3" borderId="6" xfId="0" applyFont="1" applyFill="1" applyBorder="1" applyAlignment="1">
      <x:alignment horizontal="center" vertical="center" wrapText="1"/>
    </x:xf>
    <x:xf numFmtId="0" fontId="3" fillId="3" borderId="4" xfId="0" applyFont="1" applyFill="1" applyBorder="1" applyAlignment="1">
      <x:alignment horizontal="center" vertical="center" wrapText="1"/>
    </x:xf>
    <x:xf numFmtId="0" fontId="3" fillId="3" borderId="11" xfId="0" applyFont="1" applyFill="1" applyBorder="1" applyAlignment="1">
      <x:alignment horizontal="center" vertical="center" wrapText="1"/>
    </x:xf>
    <x:xf numFmtId="0" fontId="0" fillId="0" borderId="2" xfId="0" applyBorder="1" applyAlignment="1">
      <x:alignment horizontal="left"/>
    </x:xf>
    <x:xf numFmtId="0" fontId="0" fillId="0" borderId="17" xfId="0" applyBorder="1" applyAlignment="1">
      <x:alignment horizontal="left"/>
    </x:xf>
    <x:xf numFmtId="0" fontId="0" fillId="0" borderId="3" xfId="0" applyBorder="1" applyAlignment="1">
      <x:alignment horizontal="left"/>
    </x:xf>
    <x:xf numFmtId="0" fontId="3" fillId="3" borderId="19" xfId="0" applyFont="1" applyFill="1" applyBorder="1" applyAlignment="1">
      <x:alignment horizontal="center" vertical="center" wrapText="1"/>
    </x:xf>
    <x:xf numFmtId="0" fontId="3" fillId="3" borderId="20" xfId="0" applyFont="1" applyFill="1" applyBorder="1" applyAlignment="1">
      <x:alignment horizontal="center" vertical="center" wrapText="1"/>
    </x:xf>
    <x:xf numFmtId="0" fontId="3" fillId="3" borderId="21" xfId="0" applyFont="1" applyFill="1" applyBorder="1" applyAlignment="1">
      <x:alignment horizontal="center" vertical="center" wrapText="1"/>
    </x:xf>
    <x:xf numFmtId="0" fontId="8" fillId="3" borderId="27" xfId="0" applyFont="1" applyFill="1" applyBorder="1" applyAlignment="1">
      <x:alignment horizontal="left" vertical="center" wrapText="1"/>
    </x:xf>
    <x:xf numFmtId="2" fontId="1" fillId="0" borderId="33" xfId="0" applyNumberFormat="1" applyFont="1" applyBorder="1" applyAlignment="1">
      <x:alignment horizontal="center" vertical="center" wrapText="1"/>
    </x:xf>
    <x:xf numFmtId="2" fontId="1" fillId="0" borderId="5" xfId="0" applyNumberFormat="1" applyFont="1" applyBorder="1" applyAlignment="1">
      <x:alignment horizontal="center" vertical="center" wrapText="1"/>
    </x:xf>
    <x:xf numFmtId="0" fontId="12" fillId="3" borderId="27" xfId="0" applyFont="1" applyFill="1" applyBorder="1" applyAlignment="1">
      <x:alignment horizontal="center" vertical="center" wrapText="1"/>
    </x:xf>
    <x:xf numFmtId="0" fontId="8" fillId="3" borderId="28" xfId="0" applyFont="1" applyFill="1" applyBorder="1" applyAlignment="1">
      <x:alignment horizontal="center" vertical="center" wrapText="1"/>
    </x:xf>
    <x:xf numFmtId="0" fontId="8" fillId="3" borderId="27" xfId="0" applyFont="1" applyFill="1" applyBorder="1" applyAlignment="1">
      <x:alignment horizontal="center" vertical="center" wrapText="1"/>
    </x:xf>
    <x:xf numFmtId="0" fontId="3" fillId="5" borderId="18" xfId="0" applyFont="1" applyFill="1" applyBorder="1" applyAlignment="1">
      <x:alignment horizontal="center" vertical="center" wrapText="1"/>
    </x:xf>
    <x:xf numFmtId="0" fontId="3" fillId="6" borderId="4" xfId="0" applyFont="1" applyFill="1" applyBorder="1" applyAlignment="1">
      <x:alignment horizontal="center" vertical="center" wrapText="1"/>
    </x:xf>
    <x:xf numFmtId="0" fontId="3" fillId="6" borderId="11" xfId="0" applyFont="1" applyFill="1" applyBorder="1" applyAlignment="1">
      <x:alignment horizontal="center" vertical="center" wrapText="1"/>
    </x:xf>
    <x:xf numFmtId="0" fontId="3" fillId="2" borderId="27" xfId="0" applyFont="1" applyFill="1" applyBorder="1" applyAlignment="1">
      <x:alignment horizontal="center" vertical="center" wrapText="1"/>
    </x:xf>
    <x:xf numFmtId="0" fontId="3" fillId="2" borderId="28" xfId="0" applyFont="1" applyFill="1" applyBorder="1" applyAlignment="1">
      <x:alignment horizontal="center" vertical="center" wrapText="1"/>
    </x:xf>
    <x:xf numFmtId="0" fontId="3" fillId="2" borderId="18" xfId="0" applyFont="1" applyFill="1" applyBorder="1" applyAlignment="1">
      <x:alignment horizontal="center" vertical="center" wrapText="1"/>
    </x:xf>
    <x:xf numFmtId="0" fontId="3" fillId="2" borderId="35" xfId="0" applyFont="1" applyFill="1" applyBorder="1" applyAlignment="1">
      <x:alignment horizontal="center" vertical="center" wrapText="1"/>
    </x:xf>
    <x:xf numFmtId="0" fontId="3" fillId="2" borderId="6" xfId="0" applyFont="1" applyFill="1" applyBorder="1" applyAlignment="1">
      <x:alignment horizontal="center" vertical="center" wrapText="1"/>
    </x:xf>
    <x:xf numFmtId="0" fontId="3" fillId="6" borderId="4" xfId="0" applyFont="1" applyFill="1" applyBorder="1" applyAlignment="1">
      <x:alignment horizontal="center" vertical="center" wrapText="1"/>
    </x:xf>
    <x:xf numFmtId="0" fontId="3" fillId="5" borderId="6" xfId="0" applyFont="1" applyFill="1" applyBorder="1" applyAlignment="1">
      <x:alignment horizontal="center" vertical="center" wrapText="1"/>
    </x:xf>
    <x:xf numFmtId="0" fontId="3" fillId="6" borderId="18" xfId="0" applyFont="1" applyFill="1" applyBorder="1" applyAlignment="1">
      <x:alignment horizontal="center" vertical="center" wrapText="1"/>
    </x:xf>
    <x:xf numFmtId="0" fontId="3" fillId="6" borderId="35" xfId="0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/>
    <x:xf numFmtId="200" fontId="0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201" fontId="1" fillId="7" borderId="1" xfId="0" applyNumberFormat="1" applyFont="1" applyFill="1" applyBorder="1" applyAlignment="1">
      <x:alignment vertical="center" wrapText="1"/>
    </x:xf>
    <x:xf numFmtId="0" fontId="13" fillId="7" borderId="1" xfId="0" applyNumberFormat="1" applyFont="1" applyFill="1" applyBorder="1" applyAlignment="1">
      <x:alignment horizontal="center" vertical="center" wrapText="1"/>
    </x:xf>
    <x:xf numFmtId="201" fontId="13" fillId="7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1" fillId="0" borderId="33" xfId="0" applyNumberFormat="1" applyFont="1" applyFill="1" applyBorder="1" applyAlignment="1">
      <x:alignment horizontal="center" vertical="center" wrapText="1"/>
    </x:xf>
    <x:xf numFmtId="2" fontId="1" fillId="7" borderId="5" xfId="0" applyNumberFormat="1" applyFont="1" applyFill="1" applyBorder="1" applyAlignment="1">
      <x:alignment horizontal="center" vertical="center" wrapText="1"/>
    </x:xf>
    <x:xf numFmtId="2" fontId="13" fillId="7" borderId="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wrapText="1"/>
    </x:xf>
    <x:xf numFmtId="0" fontId="14" fillId="8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a6525a91e47e8" /><Relationship Type="http://schemas.openxmlformats.org/officeDocument/2006/relationships/theme" Target="/xl/theme/theme1.xml" Id="R1d65379a184d4cfd" /><Relationship Type="http://schemas.openxmlformats.org/officeDocument/2006/relationships/sharedStrings" Target="/xl/sharedStrings.xml" Id="R4978901d1e2f425c" /><Relationship Type="http://schemas.openxmlformats.org/officeDocument/2006/relationships/worksheet" Target="/xl/worksheets/sheet1.xml" Id="Rce5f21b2549e45fe" /><Relationship Type="http://schemas.openxmlformats.org/officeDocument/2006/relationships/worksheet" Target="/xl/worksheets/sheet2.xml" Id="R6df578b9082742ac" /><Relationship Type="http://schemas.openxmlformats.org/officeDocument/2006/relationships/worksheet" Target="/xl/worksheets/sheet3.xml" Id="R6954e60991604172" /><Relationship Type="http://schemas.openxmlformats.org/officeDocument/2006/relationships/worksheet" Target="/xl/worksheets/sheet4.xml" Id="Rab589558baa042ff" /><Relationship Type="http://schemas.openxmlformats.org/officeDocument/2006/relationships/worksheet" Target="/xl/worksheets/sheet5.xml" Id="R1906f37f9b954d8f" /><Relationship Type="http://schemas.microsoft.com/office/2017/10/relationships/person" Target="/xl/persons/person.xml" Id="Ra4a5ed226aaa4761" /></Relationships>
</file>

<file path=xl/persons/person.xml><?xml version="1.0" encoding="utf-8"?>
<xltc:personList xmlns:xltc="http://schemas.microsoft.com/office/spreadsheetml/2018/threadedcomments">
  <xltc:person displayName="Gardner, Alison" id="{1E4A6D40-C448-4472-8174-7AAA85AE9ECE}"/>
  <xltc:person displayName="Kunwar, Liza" id="{F0F5102D-4B0F-48B3-8D5D-313E7C37202C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7" dT="2026-04-09T04:07:38.11" personId="{1E4A6D40-C448-4472-8174-7AAA85AE9ECE}" id="{F8EF9915-A47C-471D-B4AA-F001ECFBEC07}">
    <xltc:text>Absolute value</xltc:text>
  </xltc:threadedComment>
  <xltc:threadedComment ref="D8" dT="2026-04-09T04:07:46.18" personId="{1E4A6D40-C448-4472-8174-7AAA85AE9ECE}" id="{82AE2E7C-D90A-4F3D-A985-6C7A6D10C400}">
    <xltc:text>Relative change (+ from baseline number)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7" dT="2026-04-09T04:07:38.11" personId="{1E4A6D40-C448-4472-8174-7AAA85AE9ECE}" id="{ADD9B15A-C192-45EE-B357-F15A4B48858E}">
    <xltc:text>Absolute value</xltc:text>
  </xltc:threadedComment>
  <xltc:threadedComment ref="D8" dT="2026-04-09T04:07:46.18" personId="{1E4A6D40-C448-4472-8174-7AAA85AE9ECE}" id="{5FB45E53-30BA-4A29-81BD-D69C64BE6A02}">
    <xltc:text>Relative change (+ from baseline number)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D7" dT="2026-04-09T04:07:38.11" personId="{1E4A6D40-C448-4472-8174-7AAA85AE9ECE}" id="{EDA857FA-05AD-4A59-8DE9-0E3C056E0CDB}">
    <xltc:text>Absolute value</xltc:text>
  </xltc:threadedComment>
  <xltc:threadedComment ref="D8" dT="2026-04-09T04:07:46.18" personId="{1E4A6D40-C448-4472-8174-7AAA85AE9ECE}" id="{1C91C3F8-E57F-4E84-9218-98663BB75F71}">
    <xltc:text>Relative change (+ from baseline number)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C4" dT="2026-07-02T08:12:39.01" personId="{F0F5102D-4B0F-48B3-8D5D-313E7C37202C}" id="{9BC4D26E-A441-4A3B-8DD7-068FFA981654}">
    <xltc:text>I’ve changed the baseline from GWL 1.2  to GWL 1.5 based on minimum median value among four GWLs.</xltc:text>
  </xltc:threadedComment>
  <xltc:threadedComment ref="D7" dT="2026-04-09T04:07:38.11" personId="{1E4A6D40-C448-4472-8174-7AAA85AE9ECE}" id="{430FF1D8-F3A9-4A67-B89B-1BCFA415E2EA}">
    <xltc:text>Absolute value</xltc:text>
  </xltc:threadedComment>
  <xltc:threadedComment ref="D8" dT="2026-04-09T04:07:46.18" personId="{1E4A6D40-C448-4472-8174-7AAA85AE9ECE}" id="{8DA86F4D-61DD-438B-BBA2-8BA131423C52}">
    <xltc:text>Relative change (+ from baseline number)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e60b54d549bf4215" /><Relationship Type="http://schemas.openxmlformats.org/officeDocument/2006/relationships/vmlDrawing" Target="/xl/drawings/vmldrawing.vml" Id="R60c39ce4c32945ee" /><Relationship Type="http://schemas.microsoft.com/office/2017/10/relationships/threadedComment" Target="/xl/threadedcomments/threadedcomment.xml" Id="Rd1876b53bbf54f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7b3d5667f2d24e2d" /><Relationship Type="http://schemas.openxmlformats.org/officeDocument/2006/relationships/vmlDrawing" Target="/xl/drawings/vmldrawing2.vml" Id="Rd6b61f9a674947f3" /><Relationship Type="http://schemas.microsoft.com/office/2017/10/relationships/threadedComment" Target="/xl/threadedcomments/threadedcomment2.xml" Id="R6fc9ad904fc544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8bcc156fd7e74a7f" /><Relationship Type="http://schemas.openxmlformats.org/officeDocument/2006/relationships/vmlDrawing" Target="/xl/drawings/vmldrawing3.vml" Id="Rb2a3a5d0e28940e9" /><Relationship Type="http://schemas.microsoft.com/office/2017/10/relationships/threadedComment" Target="/xl/threadedcomments/threadedcomment3.xml" Id="R5cbf436cdec34f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8ee3fdc25b8c43e3" /><Relationship Type="http://schemas.openxmlformats.org/officeDocument/2006/relationships/vmlDrawing" Target="/xl/drawings/vmldrawing4.vml" Id="Rb1eef266f4444a9a" /><Relationship Type="http://schemas.microsoft.com/office/2017/10/relationships/threadedComment" Target="/xl/threadedcomments/threadedcomment4.xml" Id="R3b98cd4c7e474042" /></Relationships>
</file>

<file path=xl/worksheets/sheet1.xml><?xml version="1.0" encoding="utf-8"?>
<x:worksheet xmlns:x="http://schemas.openxmlformats.org/spreadsheetml/2006/main">
  <x:sheetFormatPr defaultRowHeight="14.449999809265137"/>
  <x:cols>
    <x:col min="1" max="1" width="17.42578125" customWidth="1"/>
    <x:col min="2" max="5" width="12.5703125" customWidth="1"/>
  </x:cols>
  <x:sheetData>
    <x:row r="1" ht="18.600000381469727">
      <x:c r="A1" s="12" t="s">
        <x:v>0</x:v>
      </x:c>
    </x:row>
    <x:row r="2" ht="15.949999809265137" customHeight="1">
      <x:c r="A2" s="65" t="s">
        <x:v>1</x:v>
      </x:c>
      <x:c r="B2" s="77" t="s">
        <x:v>2</x:v>
      </x:c>
      <x:c r="C2" s="78"/>
      <x:c r="D2" s="78"/>
      <x:c r="E2" s="79"/>
    </x:row>
    <x:row r="3" ht="15.949999809265137">
      <x:c r="A3" s="66"/>
      <x:c r="B3" s="48" t="s">
        <x:v>3</x:v>
      </x:c>
      <x:c r="C3" s="71"/>
      <x:c r="D3" s="72" t="s">
        <x:v>4</x:v>
      </x:c>
      <x:c r="E3" s="73"/>
    </x:row>
    <x:row r="4" ht="15.949999809265137">
      <x:c r="A4" s="67"/>
      <x:c r="B4" s="10" t="s">
        <x:v>5</x:v>
      </x:c>
      <x:c r="C4" s="10" t="s">
        <x:v>6</x:v>
      </x:c>
      <x:c r="D4" s="10" t="s">
        <x:v>5</x:v>
      </x:c>
      <x:c r="E4" s="11" t="s">
        <x:v>6</x:v>
      </x:c>
    </x:row>
    <x:row r="5" ht="15.949999809265137">
      <x:c r="A5" s="7" t="s">
        <x:v>7</x:v>
      </x:c>
      <x:c r="B5" s="8"/>
      <x:c r="C5" s="8"/>
      <x:c r="D5" s="8"/>
      <x:c r="E5" s="8"/>
    </x:row>
    <x:row r="6" ht="15.949999809265137">
      <x:c r="A6" s="1" t="s">
        <x:v>8</x:v>
      </x:c>
      <x:c r="B6" s="2"/>
      <x:c r="C6" s="2"/>
      <x:c r="D6" s="2"/>
      <x:c r="E6" s="2"/>
    </x:row>
    <x:row r="8" ht="18.600000381469727">
      <x:c r="A8" s="13" t="s">
        <x:v>9</x:v>
      </x:c>
    </x:row>
    <x:row r="10">
      <x:c r="A10" s="74" t="s">
        <x:v>10</x:v>
      </x:c>
      <x:c r="B10" s="75"/>
      <x:c r="C10" s="75"/>
      <x:c r="D10" s="75"/>
      <x:c r="E10" s="76"/>
    </x:row>
    <x:row r="11" ht="15.949999809265137">
      <x:c r="A11" s="65" t="s">
        <x:v>11</x:v>
      </x:c>
      <x:c r="B11" s="68" t="s">
        <x:v>2</x:v>
      </x:c>
      <x:c r="C11" s="69"/>
      <x:c r="D11" s="69"/>
      <x:c r="E11" s="70"/>
    </x:row>
    <x:row r="12" ht="15.949999809265137">
      <x:c r="A12" s="66"/>
      <x:c r="B12" s="71" t="s">
        <x:v>3</x:v>
      </x:c>
      <x:c r="C12" s="72"/>
      <x:c r="D12" s="72" t="s">
        <x:v>4</x:v>
      </x:c>
      <x:c r="E12" s="73"/>
    </x:row>
    <x:row r="13" ht="15.949999809265137">
      <x:c r="A13" s="67"/>
      <x:c r="B13" s="10" t="s">
        <x:v>5</x:v>
      </x:c>
      <x:c r="C13" s="10" t="s">
        <x:v>6</x:v>
      </x:c>
      <x:c r="D13" s="10" t="s">
        <x:v>5</x:v>
      </x:c>
      <x:c r="E13" s="11" t="s">
        <x:v>6</x:v>
      </x:c>
    </x:row>
    <x:row r="14" ht="15.949999809265137">
      <x:c r="A14" s="7" t="s">
        <x:v>7</x:v>
      </x:c>
      <x:c r="B14" s="8"/>
      <x:c r="C14" s="8"/>
      <x:c r="D14" s="8"/>
      <x:c r="E14" s="8"/>
    </x:row>
    <x:row r="15" ht="15.949999809265137">
      <x:c r="A15" s="1" t="s">
        <x:v>8</x:v>
      </x:c>
      <x:c r="B15" s="2"/>
      <x:c r="C15" s="2"/>
      <x:c r="D15" s="2"/>
      <x:c r="E15" s="2"/>
    </x:row>
    <x:row r="17">
      <x:c r="A17" s="74" t="s">
        <x:v>12</x:v>
      </x:c>
      <x:c r="B17" s="75"/>
      <x:c r="C17" s="75"/>
      <x:c r="D17" s="75"/>
      <x:c r="E17" s="76"/>
    </x:row>
    <x:row r="18" ht="15.949999809265137">
      <x:c r="A18" s="65" t="s">
        <x:v>11</x:v>
      </x:c>
      <x:c r="B18" s="68" t="s">
        <x:v>2</x:v>
      </x:c>
      <x:c r="C18" s="69"/>
      <x:c r="D18" s="69"/>
      <x:c r="E18" s="70"/>
    </x:row>
    <x:row r="19" ht="15.949999809265137">
      <x:c r="A19" s="66"/>
      <x:c r="B19" s="71" t="s">
        <x:v>3</x:v>
      </x:c>
      <x:c r="C19" s="72"/>
      <x:c r="D19" s="72" t="s">
        <x:v>4</x:v>
      </x:c>
      <x:c r="E19" s="73"/>
    </x:row>
    <x:row r="20" ht="15.949999809265137">
      <x:c r="A20" s="67"/>
      <x:c r="B20" s="10" t="s">
        <x:v>5</x:v>
      </x:c>
      <x:c r="C20" s="10" t="s">
        <x:v>6</x:v>
      </x:c>
      <x:c r="D20" s="10" t="s">
        <x:v>5</x:v>
      </x:c>
      <x:c r="E20" s="11" t="s">
        <x:v>6</x:v>
      </x:c>
    </x:row>
    <x:row r="21" ht="15.949999809265137">
      <x:c r="A21" s="7" t="s">
        <x:v>7</x:v>
      </x:c>
      <x:c r="B21" s="8"/>
      <x:c r="C21" s="8"/>
      <x:c r="D21" s="8"/>
      <x:c r="E21" s="8"/>
    </x:row>
    <x:row r="22" ht="15.949999809265137">
      <x:c r="A22" s="1" t="s">
        <x:v>8</x:v>
      </x:c>
      <x:c r="B22" s="2"/>
      <x:c r="C22" s="2"/>
      <x:c r="D22" s="2"/>
      <x:c r="E22" s="2"/>
    </x:row>
    <x:row r="24">
      <x:c r="A24" s="74" t="s">
        <x:v>13</x:v>
      </x:c>
      <x:c r="B24" s="75"/>
      <x:c r="C24" s="75"/>
      <x:c r="D24" s="75"/>
      <x:c r="E24" s="76"/>
    </x:row>
    <x:row r="25" ht="15.949999809265137">
      <x:c r="A25" s="65" t="s">
        <x:v>11</x:v>
      </x:c>
      <x:c r="B25" s="68" t="s">
        <x:v>2</x:v>
      </x:c>
      <x:c r="C25" s="69"/>
      <x:c r="D25" s="69"/>
      <x:c r="E25" s="70"/>
    </x:row>
    <x:row r="26" ht="15.949999809265137">
      <x:c r="A26" s="66"/>
      <x:c r="B26" s="71" t="s">
        <x:v>3</x:v>
      </x:c>
      <x:c r="C26" s="72"/>
      <x:c r="D26" s="72" t="s">
        <x:v>4</x:v>
      </x:c>
      <x:c r="E26" s="73"/>
    </x:row>
    <x:row r="27" ht="15.949999809265137">
      <x:c r="A27" s="67"/>
      <x:c r="B27" s="10" t="s">
        <x:v>5</x:v>
      </x:c>
      <x:c r="C27" s="10" t="s">
        <x:v>6</x:v>
      </x:c>
      <x:c r="D27" s="10" t="s">
        <x:v>5</x:v>
      </x:c>
      <x:c r="E27" s="11" t="s">
        <x:v>6</x:v>
      </x:c>
    </x:row>
    <x:row r="28" ht="15.949999809265137">
      <x:c r="A28" s="7" t="s">
        <x:v>7</x:v>
      </x:c>
      <x:c r="B28" s="8"/>
      <x:c r="C28" s="8"/>
      <x:c r="D28" s="8"/>
      <x:c r="E28" s="8"/>
    </x:row>
    <x:row r="29" ht="15.949999809265137">
      <x:c r="A29" s="1" t="s">
        <x:v>8</x:v>
      </x:c>
      <x:c r="B29" s="2"/>
      <x:c r="C29" s="2"/>
      <x:c r="D29" s="2"/>
      <x:c r="E29" s="2"/>
    </x:row>
    <x:row r="31">
      <x:c r="A31" s="74" t="s">
        <x:v>14</x:v>
      </x:c>
      <x:c r="B31" s="75"/>
      <x:c r="C31" s="75"/>
      <x:c r="D31" s="75"/>
      <x:c r="E31" s="76"/>
    </x:row>
    <x:row r="32" ht="15.949999809265137">
      <x:c r="A32" s="65" t="s">
        <x:v>11</x:v>
      </x:c>
      <x:c r="B32" s="68" t="s">
        <x:v>2</x:v>
      </x:c>
      <x:c r="C32" s="69"/>
      <x:c r="D32" s="69"/>
      <x:c r="E32" s="70"/>
    </x:row>
    <x:row r="33" ht="15.949999809265137">
      <x:c r="A33" s="66"/>
      <x:c r="B33" s="71" t="s">
        <x:v>3</x:v>
      </x:c>
      <x:c r="C33" s="72"/>
      <x:c r="D33" s="72" t="s">
        <x:v>4</x:v>
      </x:c>
      <x:c r="E33" s="73"/>
    </x:row>
    <x:row r="34" ht="15.949999809265137">
      <x:c r="A34" s="67"/>
      <x:c r="B34" s="10" t="s">
        <x:v>5</x:v>
      </x:c>
      <x:c r="C34" s="10" t="s">
        <x:v>6</x:v>
      </x:c>
      <x:c r="D34" s="10" t="s">
        <x:v>5</x:v>
      </x:c>
      <x:c r="E34" s="11" t="s">
        <x:v>6</x:v>
      </x:c>
    </x:row>
    <x:row r="35" ht="15.949999809265137">
      <x:c r="A35" s="7" t="s">
        <x:v>7</x:v>
      </x:c>
      <x:c r="B35" s="8"/>
      <x:c r="C35" s="8"/>
      <x:c r="D35" s="8"/>
      <x:c r="E35" s="8"/>
    </x:row>
    <x:row r="36" ht="15.949999809265137">
      <x:c r="A36" s="1" t="s">
        <x:v>8</x:v>
      </x:c>
      <x:c r="B36" s="2"/>
      <x:c r="C36" s="2"/>
      <x:c r="D36" s="2"/>
      <x:c r="E36" s="2"/>
    </x:row>
    <x:row r="38">
      <x:c r="A38" s="74" t="s">
        <x:v>15</x:v>
      </x:c>
      <x:c r="B38" s="75"/>
      <x:c r="C38" s="75"/>
      <x:c r="D38" s="75"/>
      <x:c r="E38" s="76"/>
    </x:row>
    <x:row r="39" ht="15.949999809265137">
      <x:c r="A39" s="65" t="s">
        <x:v>11</x:v>
      </x:c>
      <x:c r="B39" s="68" t="s">
        <x:v>2</x:v>
      </x:c>
      <x:c r="C39" s="69"/>
      <x:c r="D39" s="69"/>
      <x:c r="E39" s="70"/>
    </x:row>
    <x:row r="40" ht="15.949999809265137">
      <x:c r="A40" s="66"/>
      <x:c r="B40" s="71" t="s">
        <x:v>3</x:v>
      </x:c>
      <x:c r="C40" s="72"/>
      <x:c r="D40" s="72" t="s">
        <x:v>4</x:v>
      </x:c>
      <x:c r="E40" s="73"/>
    </x:row>
    <x:row r="41" ht="15.949999809265137">
      <x:c r="A41" s="67"/>
      <x:c r="B41" s="10" t="s">
        <x:v>5</x:v>
      </x:c>
      <x:c r="C41" s="10" t="s">
        <x:v>6</x:v>
      </x:c>
      <x:c r="D41" s="10" t="s">
        <x:v>5</x:v>
      </x:c>
      <x:c r="E41" s="11" t="s">
        <x:v>6</x:v>
      </x:c>
    </x:row>
    <x:row r="42" ht="15.949999809265137">
      <x:c r="A42" s="7" t="s">
        <x:v>7</x:v>
      </x:c>
      <x:c r="B42" s="8"/>
      <x:c r="C42" s="8"/>
      <x:c r="D42" s="8"/>
      <x:c r="E42" s="8"/>
    </x:row>
    <x:row r="43" ht="15.949999809265137">
      <x:c r="A43" s="1" t="s">
        <x:v>8</x:v>
      </x:c>
      <x:c r="B43" s="2"/>
      <x:c r="C43" s="2"/>
      <x:c r="D43" s="2"/>
      <x:c r="E43" s="2"/>
    </x:row>
    <x:row r="45">
      <x:c r="A45" s="74" t="s">
        <x:v>16</x:v>
      </x:c>
      <x:c r="B45" s="75"/>
      <x:c r="C45" s="75"/>
      <x:c r="D45" s="75"/>
      <x:c r="E45" s="76"/>
    </x:row>
    <x:row r="46" ht="15.949999809265137">
      <x:c r="A46" s="65" t="s">
        <x:v>11</x:v>
      </x:c>
      <x:c r="B46" s="68" t="s">
        <x:v>2</x:v>
      </x:c>
      <x:c r="C46" s="69"/>
      <x:c r="D46" s="69"/>
      <x:c r="E46" s="70"/>
    </x:row>
    <x:row r="47" ht="15.949999809265137">
      <x:c r="A47" s="66"/>
      <x:c r="B47" s="71" t="s">
        <x:v>3</x:v>
      </x:c>
      <x:c r="C47" s="72"/>
      <x:c r="D47" s="72" t="s">
        <x:v>4</x:v>
      </x:c>
      <x:c r="E47" s="73"/>
    </x:row>
    <x:row r="48" ht="15.949999809265137">
      <x:c r="A48" s="67"/>
      <x:c r="B48" s="10" t="s">
        <x:v>5</x:v>
      </x:c>
      <x:c r="C48" s="10" t="s">
        <x:v>6</x:v>
      </x:c>
      <x:c r="D48" s="10" t="s">
        <x:v>5</x:v>
      </x:c>
      <x:c r="E48" s="11" t="s">
        <x:v>6</x:v>
      </x:c>
    </x:row>
    <x:row r="49" ht="15.949999809265137">
      <x:c r="A49" s="7" t="s">
        <x:v>7</x:v>
      </x:c>
      <x:c r="B49" s="8"/>
      <x:c r="C49" s="8"/>
      <x:c r="D49" s="8"/>
      <x:c r="E49" s="8"/>
    </x:row>
    <x:row r="50" ht="15.949999809265137">
      <x:c r="A50" s="1" t="s">
        <x:v>8</x:v>
      </x:c>
      <x:c r="B50" s="2"/>
      <x:c r="C50" s="2"/>
      <x:c r="D50" s="2"/>
      <x:c r="E50" s="2"/>
    </x:row>
    <x:row r="52">
      <x:c r="A52" s="74" t="s">
        <x:v>17</x:v>
      </x:c>
      <x:c r="B52" s="75"/>
      <x:c r="C52" s="75"/>
      <x:c r="D52" s="75"/>
      <x:c r="E52" s="76"/>
    </x:row>
    <x:row r="53" ht="15.949999809265137">
      <x:c r="A53" s="65" t="s">
        <x:v>11</x:v>
      </x:c>
      <x:c r="B53" s="68" t="s">
        <x:v>2</x:v>
      </x:c>
      <x:c r="C53" s="69"/>
      <x:c r="D53" s="69"/>
      <x:c r="E53" s="70"/>
    </x:row>
    <x:row r="54" ht="15.949999809265137">
      <x:c r="A54" s="66"/>
      <x:c r="B54" s="71" t="s">
        <x:v>3</x:v>
      </x:c>
      <x:c r="C54" s="72"/>
      <x:c r="D54" s="72" t="s">
        <x:v>4</x:v>
      </x:c>
      <x:c r="E54" s="73"/>
    </x:row>
    <x:row r="55" ht="15.949999809265137">
      <x:c r="A55" s="67"/>
      <x:c r="B55" s="10" t="s">
        <x:v>5</x:v>
      </x:c>
      <x:c r="C55" s="10" t="s">
        <x:v>6</x:v>
      </x:c>
      <x:c r="D55" s="10" t="s">
        <x:v>5</x:v>
      </x:c>
      <x:c r="E55" s="11" t="s">
        <x:v>6</x:v>
      </x:c>
    </x:row>
    <x:row r="56" ht="15.949999809265137">
      <x:c r="A56" s="7" t="s">
        <x:v>7</x:v>
      </x:c>
      <x:c r="B56" s="8"/>
      <x:c r="C56" s="8"/>
      <x:c r="D56" s="8"/>
      <x:c r="E56" s="8"/>
    </x:row>
    <x:row r="57" ht="15.949999809265137">
      <x:c r="A57" s="1" t="s">
        <x:v>8</x:v>
      </x:c>
      <x:c r="B57" s="2"/>
      <x:c r="C57" s="2"/>
      <x:c r="D57" s="2"/>
      <x:c r="E57" s="2"/>
    </x:row>
    <x:row r="59">
      <x:c r="A59" s="74" t="s">
        <x:v>18</x:v>
      </x:c>
      <x:c r="B59" s="75"/>
      <x:c r="C59" s="75"/>
      <x:c r="D59" s="75"/>
      <x:c r="E59" s="76"/>
    </x:row>
    <x:row r="60" ht="15.949999809265137">
      <x:c r="A60" s="65" t="s">
        <x:v>11</x:v>
      </x:c>
      <x:c r="B60" s="68" t="s">
        <x:v>2</x:v>
      </x:c>
      <x:c r="C60" s="69"/>
      <x:c r="D60" s="69"/>
      <x:c r="E60" s="70"/>
    </x:row>
    <x:row r="61" ht="15.949999809265137">
      <x:c r="A61" s="66"/>
      <x:c r="B61" s="71" t="s">
        <x:v>3</x:v>
      </x:c>
      <x:c r="C61" s="72"/>
      <x:c r="D61" s="72" t="s">
        <x:v>4</x:v>
      </x:c>
      <x:c r="E61" s="73"/>
    </x:row>
    <x:row r="62" ht="15.949999809265137">
      <x:c r="A62" s="67"/>
      <x:c r="B62" s="10" t="s">
        <x:v>5</x:v>
      </x:c>
      <x:c r="C62" s="10" t="s">
        <x:v>6</x:v>
      </x:c>
      <x:c r="D62" s="10" t="s">
        <x:v>5</x:v>
      </x:c>
      <x:c r="E62" s="11" t="s">
        <x:v>6</x:v>
      </x:c>
    </x:row>
    <x:row r="63" ht="15.949999809265137">
      <x:c r="A63" s="7" t="s">
        <x:v>7</x:v>
      </x:c>
      <x:c r="B63" s="8"/>
      <x:c r="C63" s="8"/>
      <x:c r="D63" s="8"/>
      <x:c r="E63" s="8"/>
    </x:row>
    <x:row r="64" ht="15.949999809265137">
      <x:c r="A64" s="1" t="s">
        <x:v>8</x:v>
      </x:c>
      <x:c r="B64" s="2"/>
      <x:c r="C64" s="2"/>
      <x:c r="D64" s="2"/>
      <x:c r="E64" s="2"/>
    </x:row>
    <x:row r="66">
      <x:c r="A66" s="74" t="s">
        <x:v>19</x:v>
      </x:c>
      <x:c r="B66" s="75"/>
      <x:c r="C66" s="75"/>
      <x:c r="D66" s="75"/>
      <x:c r="E66" s="76"/>
    </x:row>
    <x:row r="67" ht="15.949999809265137">
      <x:c r="A67" s="65" t="s">
        <x:v>11</x:v>
      </x:c>
      <x:c r="B67" s="68" t="s">
        <x:v>2</x:v>
      </x:c>
      <x:c r="C67" s="69"/>
      <x:c r="D67" s="69"/>
      <x:c r="E67" s="70"/>
    </x:row>
    <x:row r="68" ht="15.949999809265137">
      <x:c r="A68" s="66"/>
      <x:c r="B68" s="71" t="s">
        <x:v>3</x:v>
      </x:c>
      <x:c r="C68" s="72"/>
      <x:c r="D68" s="72" t="s">
        <x:v>4</x:v>
      </x:c>
      <x:c r="E68" s="73"/>
    </x:row>
    <x:row r="69" ht="15.949999809265137">
      <x:c r="A69" s="67"/>
      <x:c r="B69" s="10" t="s">
        <x:v>5</x:v>
      </x:c>
      <x:c r="C69" s="10" t="s">
        <x:v>6</x:v>
      </x:c>
      <x:c r="D69" s="10" t="s">
        <x:v>5</x:v>
      </x:c>
      <x:c r="E69" s="11" t="s">
        <x:v>6</x:v>
      </x:c>
    </x:row>
    <x:row r="70" ht="15.949999809265137">
      <x:c r="A70" s="7" t="s">
        <x:v>7</x:v>
      </x:c>
      <x:c r="B70" s="8"/>
      <x:c r="C70" s="8"/>
      <x:c r="D70" s="8"/>
      <x:c r="E70" s="8"/>
    </x:row>
    <x:row r="71" ht="15.949999809265137">
      <x:c r="A71" s="1" t="s">
        <x:v>8</x:v>
      </x:c>
      <x:c r="B71" s="2"/>
      <x:c r="C71" s="2"/>
      <x:c r="D71" s="2"/>
      <x:c r="E71" s="2"/>
    </x:row>
  </x:sheetData>
  <x:mergeCells>
    <x:mergeCell ref="A2:A4"/>
    <x:mergeCell ref="D3:E3"/>
    <x:mergeCell ref="A10:E10"/>
    <x:mergeCell ref="A17:E17"/>
    <x:mergeCell ref="A18:A20"/>
    <x:mergeCell ref="B18:E18"/>
    <x:mergeCell ref="B19:C19"/>
    <x:mergeCell ref="D19:E19"/>
    <x:mergeCell ref="A11:A13"/>
    <x:mergeCell ref="B11:E11"/>
    <x:mergeCell ref="B12:C12"/>
    <x:mergeCell ref="D12:E12"/>
    <x:mergeCell ref="B3:C3"/>
    <x:mergeCell ref="B2:E2"/>
    <x:mergeCell ref="A24:E24"/>
    <x:mergeCell ref="A25:A27"/>
    <x:mergeCell ref="B25:E25"/>
    <x:mergeCell ref="B26:C26"/>
    <x:mergeCell ref="D26:E26"/>
    <x:mergeCell ref="A31:E31"/>
    <x:mergeCell ref="A32:A34"/>
    <x:mergeCell ref="B32:E32"/>
    <x:mergeCell ref="B33:C33"/>
    <x:mergeCell ref="D33:E33"/>
    <x:mergeCell ref="A38:E38"/>
    <x:mergeCell ref="A39:A41"/>
    <x:mergeCell ref="B39:E39"/>
    <x:mergeCell ref="B40:C40"/>
    <x:mergeCell ref="D40:E40"/>
    <x:mergeCell ref="A45:E45"/>
    <x:mergeCell ref="A46:A48"/>
    <x:mergeCell ref="B46:E46"/>
    <x:mergeCell ref="B47:C47"/>
    <x:mergeCell ref="D47:E47"/>
    <x:mergeCell ref="A67:A69"/>
    <x:mergeCell ref="B67:E67"/>
    <x:mergeCell ref="B68:C68"/>
    <x:mergeCell ref="D68:E68"/>
    <x:mergeCell ref="A52:E52"/>
    <x:mergeCell ref="A60:A62"/>
    <x:mergeCell ref="B60:E60"/>
    <x:mergeCell ref="B61:C61"/>
    <x:mergeCell ref="D61:E61"/>
    <x:mergeCell ref="A66:E66"/>
    <x:mergeCell ref="A53:A55"/>
    <x:mergeCell ref="B53:E53"/>
    <x:mergeCell ref="B54:C54"/>
    <x:mergeCell ref="D54:E54"/>
    <x:mergeCell ref="A59:E5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449999809265137"/>
  <x:cols>
    <x:col min="1" max="1" width="13.7109375" customWidth="1"/>
    <x:col min="2" max="2" width="23.7109375" customWidth="1"/>
    <x:col min="3" max="21" width="11.140625" customWidth="1"/>
  </x:cols>
  <x:sheetData>
    <x:row r="2" ht="15.949999809265137" customHeight="1">
      <x:c r="A2" s="43" t="str">
        <x:v>Rainfall projections - Summary table (to populate after year-by-year tables below)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5"/>
    </x:row>
    <x:row r="3" ht="15.949999809265137" customHeight="1">
      <x:c r="A3" s="46" t="s">
        <x:v>11</x:v>
      </x:c>
      <x:c r="B3" s="47"/>
      <x:c r="C3" s="14" t="s">
        <x:v>20</x:v>
      </x:c>
      <x:c r="D3" s="48" t="s">
        <x:v>21</x:v>
      </x:c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50"/>
    </x:row>
    <x:row r="4" ht="15.949999809265137">
      <x:c r="A4" s="51" t="s">
        <x:v>22</x:v>
      </x:c>
      <x:c r="B4" s="54" t="s">
        <x:v>23</x:v>
      </x:c>
      <x:c r="C4" s="54" t="s">
        <x:v>24</x:v>
      </x:c>
      <x:c r="D4" s="57" t="s">
        <x:v>25</x:v>
      </x:c>
      <x:c r="E4" s="58"/>
      <x:c r="F4" s="58"/>
      <x:c r="G4" s="58"/>
      <x:c r="H4" s="58"/>
      <x:c r="I4" s="59"/>
      <x:c r="J4" s="60" t="s">
        <x:v>26</x:v>
      </x:c>
      <x:c r="K4" s="61"/>
      <x:c r="L4" s="61"/>
      <x:c r="M4" s="61"/>
      <x:c r="N4" s="61"/>
      <x:c r="O4" s="62"/>
    </x:row>
    <x:row r="5" ht="15.949999809265137" customHeight="1">
      <x:c r="A5" s="52"/>
      <x:c r="B5" s="55"/>
      <x:c r="C5" s="55"/>
      <x:c r="D5" s="63" t="s">
        <x:v>27</x:v>
      </x:c>
      <x:c r="E5" s="63"/>
      <x:c r="F5" s="63"/>
      <x:c r="G5" s="63" t="s">
        <x:v>28</x:v>
      </x:c>
      <x:c r="H5" s="63"/>
      <x:c r="I5" s="63"/>
      <x:c r="J5" s="37" t="s">
        <x:v>27</x:v>
      </x:c>
      <x:c r="K5" s="37"/>
      <x:c r="L5" s="37"/>
      <x:c r="M5" s="37" t="s">
        <x:v>28</x:v>
      </x:c>
      <x:c r="N5" s="37"/>
      <x:c r="O5" s="64"/>
    </x:row>
    <x:row r="6" ht="32.099998474121094">
      <x:c r="A6" s="53"/>
      <x:c r="B6" s="56"/>
      <x:c r="C6" s="56"/>
      <x:c r="D6" s="18" t="s">
        <x:v>29</x:v>
      </x:c>
      <x:c r="E6" s="18" t="s">
        <x:v>30</x:v>
      </x:c>
      <x:c r="F6" s="18" t="s">
        <x:v>31</x:v>
      </x:c>
      <x:c r="G6" s="18" t="s">
        <x:v>29</x:v>
      </x:c>
      <x:c r="H6" s="18" t="s">
        <x:v>30</x:v>
      </x:c>
      <x:c r="I6" s="18" t="s">
        <x:v>31</x:v>
      </x:c>
      <x:c r="J6" s="19" t="s">
        <x:v>29</x:v>
      </x:c>
      <x:c r="K6" s="19" t="s">
        <x:v>30</x:v>
      </x:c>
      <x:c r="L6" s="19" t="s">
        <x:v>31</x:v>
      </x:c>
      <x:c r="M6" s="19" t="s">
        <x:v>29</x:v>
      </x:c>
      <x:c r="N6" s="19" t="s">
        <x:v>30</x:v>
      </x:c>
      <x:c r="O6" s="20" t="s">
        <x:v>31</x:v>
      </x:c>
    </x:row>
    <x:row r="7" ht="86.0999984741211" customHeight="1">
      <x:c r="A7" s="38" t="s">
        <x:v>32</x:v>
      </x:c>
      <x:c r="B7" s="38" t="s">
        <x:v>33</x:v>
      </x:c>
      <x:c r="C7" s="100" t="n">
        <x:v>14.750619013385048</x:v>
      </x:c>
      <x:c r="D7" s="101" t="n">
        <x:v>9.13648846612012</x:v>
      </x:c>
      <x:c r="E7" s="101" t="n">
        <x:v>12.987709627326693</x:v>
      </x:c>
      <x:c r="F7" s="101" t="n">
        <x:v>18.532258840574947</x:v>
      </x:c>
      <x:c r="G7" s="101" t="n">
        <x:v>10.028862823572968</x:v>
      </x:c>
      <x:c r="H7" s="101" t="n">
        <x:v>13.035848121907204</x:v>
      </x:c>
      <x:c r="I7" s="101" t="n">
        <x:v>18.284454566478324</x:v>
      </x:c>
      <x:c r="J7" s="101" t="n">
        <x:v>7.582933890939571</x:v>
      </x:c>
      <x:c r="K7" s="101" t="n">
        <x:v>12.06511296040787</x:v>
      </x:c>
      <x:c r="L7" s="101" t="n">
        <x:v>16.503241099482576</x:v>
      </x:c>
      <x:c r="M7" s="101" t="n">
        <x:v>7.616043357327743</x:v>
      </x:c>
      <x:c r="N7" s="101" t="n">
        <x:v>14.09545838018138</x:v>
      </x:c>
      <x:c r="O7" s="101" t="n">
        <x:v>18.8001766724798</x:v>
      </x:c>
    </x:row>
    <x:row r="8" ht="86.0999984741211" customHeight="1">
      <x:c r="A8" s="105" t="str">
        <x:v>Relative change from baseline</x:v>
      </x:c>
      <x:c r="B8" s="105"/>
      <x:c r="C8" s="105"/>
      <x:c r="D8" s="106" t="n">
        <x:v>-0.22895568346479794</x:v>
      </x:c>
      <x:c r="E8" s="106" t="n">
        <x:v>-0.11951426475449277</x:v>
      </x:c>
      <x:c r="F8" s="106" t="n">
        <x:v>-0.09924884002412677</x:v>
      </x:c>
      <x:c r="G8" s="106" t="n">
        <x:v>-0.15364664333551495</x:v>
      </x:c>
      <x:c r="H8" s="106" t="n">
        <x:v>-0.11625077496217764</x:v>
      </x:c>
      <x:c r="I8" s="106" t="n">
        <x:v>-0.1112932426660115</x:v>
      </x:c>
      <x:c r="J8" s="106" t="n">
        <x:v>-0.36006288401149805</x:v>
      </x:c>
      <x:c r="K8" s="106" t="n">
        <x:v>-0.18206056644404475</x:v>
      </x:c>
      <x:c r="L8" s="106" t="n">
        <x:v>-0.19786823119618954</x:v>
      </x:c>
      <x:c r="M8" s="106" t="n">
        <x:v>-0.35726871796216964</x:v>
      </x:c>
      <x:c r="N8" s="106" t="n">
        <x:v>-0.04441580604916716</x:v>
      </x:c>
      <x:c r="O8" s="106" t="n">
        <x:v>-0.0862268279778591</x:v>
      </x:c>
    </x:row>
    <x:row r="9" ht="15.949999809265137">
      <x:c r="A9" s="15"/>
      <x:c r="B9" s="15"/>
      <x:c r="C9" s="16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</x:row>
    <x:row r="10" ht="15.949999809265137">
      <x:c r="A10" s="39" t="s">
        <x:v>34</x:v>
      </x:c>
      <x:c r="B10" s="39"/>
      <x:c r="D10" s="40" t="s">
        <x:v>35</x:v>
      </x:c>
      <x:c r="E10" s="41"/>
      <x:c r="F10" s="41"/>
      <x:c r="G10" s="41"/>
      <x:c r="H10" s="41"/>
      <x:c r="I10" s="41"/>
      <x:c r="J10" s="42"/>
      <x:c r="K10" s="4"/>
    </x:row>
    <x:row r="11" ht="87" customHeight="1">
      <x:c r="A11" s="22" t="s">
        <x:v>36</x:v>
      </x:c>
      <x:c r="B11" s="21" t="s">
        <x:v>37</x:v>
      </x:c>
      <x:c r="D11" s="30" t="s">
        <x:v>36</x:v>
      </x:c>
      <x:c r="E11" s="32" t="s">
        <x:v>38</x:v>
      </x:c>
      <x:c r="F11" s="32"/>
      <x:c r="G11" s="32"/>
      <x:c r="H11" s="32"/>
      <x:c r="I11" s="32"/>
      <x:c r="J11" s="33"/>
      <x:c r="K11" s="4"/>
    </x:row>
    <x:row r="12" ht="15.949999809265137" customHeight="1">
      <x:c r="A12" s="6">
        <x:v>1990</x:v>
      </x:c>
      <x:c r="B12" s="98" t="n">
        <x:v>11.304190142293894</x:v>
      </x:c>
      <x:c r="D12" s="30"/>
      <x:c r="E12" s="34" t="s">
        <x:v>39</x:v>
      </x:c>
      <x:c r="F12" s="34"/>
      <x:c r="G12" s="34"/>
      <x:c r="H12" s="35" t="s">
        <x:v>40</x:v>
      </x:c>
      <x:c r="I12" s="35"/>
      <x:c r="J12" s="36"/>
      <x:c r="K12" s="4"/>
    </x:row>
    <x:row r="13" ht="32.099998474121094">
      <x:c r="A13" s="6">
        <x:v>1991</x:v>
      </x:c>
      <x:c r="B13" s="98" t="n">
        <x:v>14.949773325733618</x:v>
      </x:c>
      <x:c r="D13" s="31"/>
      <x:c r="E13" s="18" t="s">
        <x:v>29</x:v>
      </x:c>
      <x:c r="F13" s="18" t="s">
        <x:v>30</x:v>
      </x:c>
      <x:c r="G13" s="18" t="s">
        <x:v>31</x:v>
      </x:c>
      <x:c r="H13" s="19" t="s">
        <x:v>29</x:v>
      </x:c>
      <x:c r="I13" s="19" t="s">
        <x:v>30</x:v>
      </x:c>
      <x:c r="J13" s="20" t="s">
        <x:v>31</x:v>
      </x:c>
      <x:c r="K13" s="4"/>
    </x:row>
    <x:row r="14" ht="15.949999809265137">
      <x:c r="A14" s="6">
        <x:v>1992</x:v>
      </x:c>
      <x:c r="B14" s="98" t="n">
        <x:v>18.627408608292747</x:v>
      </x:c>
      <x:c r="D14" s="6">
        <x:v>2040</x:v>
      </x:c>
      <x:c r="E14" s="98" t="n">
        <x:v>6.334029878752598</x:v>
      </x:c>
      <x:c r="F14" s="98" t="n">
        <x:v>13.785682080390707</x:v>
      </x:c>
      <x:c r="G14" s="98" t="n">
        <x:v>18.275561516361968</x:v>
      </x:c>
      <x:c r="H14" s="98" t="n">
        <x:v>4.155894036242419</x:v>
      </x:c>
      <x:c r="I14" s="98" t="n">
        <x:v>10.258360080485419</x:v>
      </x:c>
      <x:c r="J14" s="98" t="n">
        <x:v>18.760296312941836</x:v>
      </x:c>
      <x:c r="K14" s="4"/>
    </x:row>
    <x:row r="15" ht="15.949999809265137">
      <x:c r="A15" s="6">
        <x:v>1993</x:v>
      </x:c>
      <x:c r="B15" s="98" t="n">
        <x:v>13.706593624156877</x:v>
      </x:c>
      <x:c r="D15" s="6">
        <x:v>2041</x:v>
      </x:c>
      <x:c r="E15" s="98" t="n">
        <x:v>7.837227222487674</x:v>
      </x:c>
      <x:c r="F15" s="98" t="n">
        <x:v>13.721628571832436</x:v>
      </x:c>
      <x:c r="G15" s="98" t="n">
        <x:v>17.85469144857824</x:v>
      </x:c>
      <x:c r="H15" s="98" t="n">
        <x:v>9.035288934025871</x:v>
      </x:c>
      <x:c r="I15" s="98" t="n">
        <x:v>12.548053007049361</x:v>
      </x:c>
      <x:c r="J15" s="98" t="n">
        <x:v>17.014530297468376</x:v>
      </x:c>
      <x:c r="K15" s="4"/>
    </x:row>
    <x:row r="16" ht="15.949999809265137">
      <x:c r="A16" s="6">
        <x:v>1994</x:v>
      </x:c>
      <x:c r="B16" s="98" t="n">
        <x:v>11.39317378261178</x:v>
      </x:c>
      <x:c r="D16" s="6">
        <x:v>2042</x:v>
      </x:c>
      <x:c r="E16" s="98" t="n">
        <x:v>4.109904254731097</x:v>
      </x:c>
      <x:c r="F16" s="98" t="n">
        <x:v>12.782725009933834</x:v>
      </x:c>
      <x:c r="G16" s="98" t="n">
        <x:v>31.130039986471665</x:v>
      </x:c>
      <x:c r="H16" s="98" t="n">
        <x:v>5.2110956692536865</x:v>
      </x:c>
      <x:c r="I16" s="98" t="n">
        <x:v>10.161198277219142</x:v>
      </x:c>
      <x:c r="J16" s="98" t="n">
        <x:v>17.49773787398547</x:v>
      </x:c>
      <x:c r="K16" s="4"/>
    </x:row>
    <x:row r="17" ht="15.949999809265137">
      <x:c r="A17" s="6">
        <x:v>1995</x:v>
      </x:c>
      <x:c r="B17" s="98" t="n">
        <x:v>13.925523201401955</x:v>
      </x:c>
      <x:c r="D17" s="6">
        <x:v>2043</x:v>
      </x:c>
      <x:c r="E17" s="98" t="n">
        <x:v>6.227779800282312</x:v>
      </x:c>
      <x:c r="F17" s="98" t="n">
        <x:v>11.854422206549456</x:v>
      </x:c>
      <x:c r="G17" s="98" t="n">
        <x:v>22.387405750534644</x:v>
      </x:c>
      <x:c r="H17" s="98" t="n">
        <x:v>8.704061286388171</x:v>
      </x:c>
      <x:c r="I17" s="98" t="n">
        <x:v>12.531259483199484</x:v>
      </x:c>
      <x:c r="J17" s="98" t="n">
        <x:v>18.664249597495242</x:v>
      </x:c>
      <x:c r="K17" s="4"/>
    </x:row>
    <x:row r="18" ht="15.949999809265137">
      <x:c r="A18" s="6">
        <x:v>1996</x:v>
      </x:c>
      <x:c r="B18" s="98" t="n">
        <x:v>18.891874959544243</x:v>
      </x:c>
      <x:c r="D18" s="6">
        <x:v>2044</x:v>
      </x:c>
      <x:c r="E18" s="98" t="n">
        <x:v>9.377263655803633</x:v>
      </x:c>
      <x:c r="F18" s="98" t="n">
        <x:v>14.554519160468345</x:v>
      </x:c>
      <x:c r="G18" s="98" t="n">
        <x:v>26.103959503469124</x:v>
      </x:c>
      <x:c r="H18" s="98" t="n">
        <x:v>4.610296639710118</x:v>
      </x:c>
      <x:c r="I18" s="98" t="n">
        <x:v>13.840624659672848</x:v>
      </x:c>
      <x:c r="J18" s="98" t="n">
        <x:v>19.749491855897976</x:v>
      </x:c>
      <x:c r="K18" s="4"/>
    </x:row>
    <x:row r="19" ht="15.949999809265137">
      <x:c r="A19" s="6">
        <x:v>1997</x:v>
      </x:c>
      <x:c r="B19" s="98" t="n">
        <x:v>16.985777260768472</x:v>
      </x:c>
      <x:c r="D19" s="6">
        <x:v>2045</x:v>
      </x:c>
      <x:c r="E19" s="98" t="n">
        <x:v>5.299061016180348</x:v>
      </x:c>
      <x:c r="F19" s="98" t="n">
        <x:v>11.521406460340938</x:v>
      </x:c>
      <x:c r="G19" s="98" t="n">
        <x:v>20.307359672346866</x:v>
      </x:c>
      <x:c r="H19" s="98" t="n">
        <x:v>6.298888471487919</x:v>
      </x:c>
      <x:c r="I19" s="98" t="n">
        <x:v>10.024888278979976</x:v>
      </x:c>
      <x:c r="J19" s="98" t="n">
        <x:v>18.530532310643405</x:v>
      </x:c>
      <x:c r="K19" s="4"/>
    </x:row>
    <x:row r="20" ht="15.949999809265137">
      <x:c r="A20" s="6">
        <x:v>1998</x:v>
      </x:c>
      <x:c r="B20" s="98" t="n">
        <x:v>18.534277410158065</x:v>
      </x:c>
      <x:c r="D20" s="6">
        <x:v>2046</x:v>
      </x:c>
      <x:c r="E20" s="98" t="n">
        <x:v>9.042144959396333</x:v>
      </x:c>
      <x:c r="F20" s="98" t="n">
        <x:v>11.990008909534836</x:v>
      </x:c>
      <x:c r="G20" s="98" t="n">
        <x:v>18.061600805429308</x:v>
      </x:c>
      <x:c r="H20" s="98" t="n">
        <x:v>6.145618280183908</x:v>
      </x:c>
      <x:c r="I20" s="98" t="n">
        <x:v>12.982667870035641</x:v>
      </x:c>
      <x:c r="J20" s="98" t="n">
        <x:v>16.675487907414137</x:v>
      </x:c>
      <x:c r="K20" s="4"/>
    </x:row>
    <x:row r="21" ht="15.949999809265137">
      <x:c r="A21" s="6">
        <x:v>1999</x:v>
      </x:c>
      <x:c r="B21" s="98" t="n">
        <x:v>18.4311240335743</x:v>
      </x:c>
      <x:c r="D21" s="6">
        <x:v>2047</x:v>
      </x:c>
      <x:c r="E21" s="98" t="n">
        <x:v>6.238179292214948</x:v>
      </x:c>
      <x:c r="F21" s="98" t="n">
        <x:v>13.258190459961487</x:v>
      </x:c>
      <x:c r="G21" s="98" t="n">
        <x:v>15.949631238251872</x:v>
      </x:c>
      <x:c r="H21" s="98" t="n">
        <x:v>5.267561056967265</x:v>
      </x:c>
      <x:c r="I21" s="98" t="n">
        <x:v>11.459553085838373</x:v>
      </x:c>
      <x:c r="J21" s="98" t="n">
        <x:v>19.363626225732986</x:v>
      </x:c>
      <x:c r="K21" s="4"/>
    </x:row>
    <x:row r="22" ht="15.949999809265137">
      <x:c r="A22" s="6">
        <x:v>2000</x:v>
      </x:c>
      <x:c r="B22" s="98" t="n">
        <x:v>15.189515990958636</x:v>
      </x:c>
      <x:c r="D22" s="6">
        <x:v>2048</x:v>
      </x:c>
      <x:c r="E22" s="98" t="n">
        <x:v>8.262170523096826</x:v>
      </x:c>
      <x:c r="F22" s="98" t="n">
        <x:v>11.450788010875653</x:v>
      </x:c>
      <x:c r="G22" s="98" t="n">
        <x:v>19.98532158361685</x:v>
      </x:c>
      <x:c r="H22" s="98" t="n">
        <x:v>8.045734588772767</x:v>
      </x:c>
      <x:c r="I22" s="98" t="n">
        <x:v>13.18861369215106</x:v>
      </x:c>
      <x:c r="J22" s="98" t="n">
        <x:v>19.51942746813051</x:v>
      </x:c>
      <x:c r="K22" s="4"/>
    </x:row>
    <x:row r="23" ht="15.949999809265137">
      <x:c r="A23" s="6">
        <x:v>2001</x:v>
      </x:c>
      <x:c r="B23" s="98" t="n">
        <x:v>14.396831646491876</x:v>
      </x:c>
      <x:c r="D23" s="6">
        <x:v>2049</x:v>
      </x:c>
      <x:c r="E23" s="98" t="n">
        <x:v>7.651763187127365</x:v>
      </x:c>
      <x:c r="F23" s="98" t="n">
        <x:v>12.868354014109485</x:v>
      </x:c>
      <x:c r="G23" s="98" t="n">
        <x:v>27.42038988413286</x:v>
      </x:c>
      <x:c r="H23" s="98" t="n">
        <x:v>8.537622248471541</x:v>
      </x:c>
      <x:c r="I23" s="98" t="n">
        <x:v>11.509017968241258</x:v>
      </x:c>
      <x:c r="J23" s="98" t="n">
        <x:v>17.197719688763666</x:v>
      </x:c>
      <x:c r="K23" s="4"/>
    </x:row>
    <x:row r="24" ht="15.949999809265137">
      <x:c r="A24" s="6">
        <x:v>2002</x:v>
      </x:c>
      <x:c r="B24" s="98" t="n">
        <x:v>12.800400410093829</x:v>
      </x:c>
      <x:c r="D24" s="6">
        <x:v>2050</x:v>
      </x:c>
      <x:c r="E24" s="98" t="n">
        <x:v>6.482004501014496</x:v>
      </x:c>
      <x:c r="F24" s="98" t="n">
        <x:v>13.957008510928933</x:v>
      </x:c>
      <x:c r="G24" s="98" t="n">
        <x:v>21.4212264887737</x:v>
      </x:c>
      <x:c r="H24" s="98" t="n">
        <x:v>5.904018552556366</x:v>
      </x:c>
      <x:c r="I24" s="98" t="n">
        <x:v>11.931121482191296</x:v>
      </x:c>
      <x:c r="J24" s="98" t="n">
        <x:v>15.219762625039364</x:v>
      </x:c>
      <x:c r="K24" s="4"/>
    </x:row>
    <x:row r="25" ht="15.949999809265137">
      <x:c r="A25" s="6">
        <x:v>2003</x:v>
      </x:c>
      <x:c r="B25" s="98" t="n">
        <x:v>13.849792859613991</x:v>
      </x:c>
      <x:c r="D25" s="6">
        <x:v>2051</x:v>
      </x:c>
      <x:c r="E25" s="98" t="n">
        <x:v>5.036567510655125</x:v>
      </x:c>
      <x:c r="F25" s="98" t="n">
        <x:v>11.560507067066597</x:v>
      </x:c>
      <x:c r="G25" s="98" t="n">
        <x:v>22.398278677842953</x:v>
      </x:c>
      <x:c r="H25" s="98" t="n">
        <x:v>4.697240739302069</x:v>
      </x:c>
      <x:c r="I25" s="98" t="n">
        <x:v>14.120217079980215</x:v>
      </x:c>
      <x:c r="J25" s="98" t="n">
        <x:v>20.750887330019648</x:v>
      </x:c>
      <x:c r="K25" s="4"/>
    </x:row>
    <x:row r="26" ht="15.949999809265137">
      <x:c r="A26" s="6">
        <x:v>2004</x:v>
      </x:c>
      <x:c r="B26" s="98" t="n">
        <x:v>9.150952116266613</x:v>
      </x:c>
      <x:c r="D26" s="6">
        <x:v>2052</x:v>
      </x:c>
      <x:c r="E26" s="98" t="n">
        <x:v>4.077111122210632</x:v>
      </x:c>
      <x:c r="F26" s="98" t="n">
        <x:v>11.21690081303645</x:v>
      </x:c>
      <x:c r="G26" s="98" t="n">
        <x:v>23.922394143377623</x:v>
      </x:c>
      <x:c r="H26" s="98" t="n">
        <x:v>7.2733272062357095</x:v>
      </x:c>
      <x:c r="I26" s="98" t="n">
        <x:v>10.161200030346638</x:v>
      </x:c>
      <x:c r="J26" s="98" t="n">
        <x:v>18.965728315996742</x:v>
      </x:c>
      <x:c r="K26" s="4"/>
    </x:row>
    <x:row r="27" ht="15.949999809265137">
      <x:c r="A27" s="6">
        <x:v>2005</x:v>
      </x:c>
      <x:c r="B27" s="98" t="n">
        <x:v>15.98213422367403</x:v>
      </x:c>
      <x:c r="D27" s="6">
        <x:v>2053</x:v>
      </x:c>
      <x:c r="E27" s="98" t="n">
        <x:v>8.373126249277757</x:v>
      </x:c>
      <x:c r="F27" s="98" t="n">
        <x:v>16.970038274651777</x:v>
      </x:c>
      <x:c r="G27" s="98" t="n">
        <x:v>26.00004474534376</x:v>
      </x:c>
      <x:c r="H27" s="98" t="n">
        <x:v>7.946804934091583</x:v>
      </x:c>
      <x:c r="I27" s="98" t="n">
        <x:v>10.152463357263521</x:v>
      </x:c>
      <x:c r="J27" s="98" t="n">
        <x:v>13.151030280367461</x:v>
      </x:c>
      <x:c r="K27" s="4"/>
    </x:row>
    <x:row r="28" ht="15.949999809265137">
      <x:c r="A28" s="6">
        <x:v>2006</x:v>
      </x:c>
      <x:c r="B28" s="98" t="n">
        <x:v>16.196298402731273</x:v>
      </x:c>
      <x:c r="D28" s="6">
        <x:v>2054</x:v>
      </x:c>
      <x:c r="E28" s="98" t="n">
        <x:v>6.770142026415266</x:v>
      </x:c>
      <x:c r="F28" s="98" t="n">
        <x:v>10.775469353402006</x:v>
      </x:c>
      <x:c r="G28" s="98" t="n">
        <x:v>17.73757537857991</x:v>
      </x:c>
      <x:c r="H28" s="98" t="n">
        <x:v>9.93749388282438</x:v>
      </x:c>
      <x:c r="I28" s="98" t="n">
        <x:v>14.147807399827194</x:v>
      </x:c>
      <x:c r="J28" s="98" t="n">
        <x:v>19.48044152291875</x:v>
      </x:c>
      <x:c r="K28" s="4"/>
    </x:row>
    <x:row r="29" ht="15.949999809265137">
      <x:c r="A29" s="6">
        <x:v>2007</x:v>
      </x:c>
      <x:c r="B29" s="98" t="n">
        <x:v>12.343053116967294</x:v>
      </x:c>
      <x:c r="D29" s="6">
        <x:v>2055</x:v>
      </x:c>
      <x:c r="E29" s="98" t="n">
        <x:v>6.8897637097894044</x:v>
      </x:c>
      <x:c r="F29" s="98" t="n">
        <x:v>18.328142008153996</x:v>
      </x:c>
      <x:c r="G29" s="98" t="n">
        <x:v>25.780100018492096</x:v>
      </x:c>
      <x:c r="H29" s="98" t="n">
        <x:v>2.3948747192989046</x:v>
      </x:c>
      <x:c r="I29" s="98" t="n">
        <x:v>13.130519102405549</x:v>
      </x:c>
      <x:c r="J29" s="98" t="n">
        <x:v>21.180199100011173</x:v>
      </x:c>
      <x:c r="K29" s="4"/>
    </x:row>
    <x:row r="30" ht="15.949999809265137">
      <x:c r="A30" s="6">
        <x:v>2008</x:v>
      </x:c>
      <x:c r="B30" s="98" t="n">
        <x:v>17.408370947207622</x:v>
      </x:c>
      <x:c r="D30" s="6">
        <x:v>2056</x:v>
      </x:c>
      <x:c r="E30" s="98" t="n">
        <x:v>6.941241776804105</x:v>
      </x:c>
      <x:c r="F30" s="98" t="n">
        <x:v>11.878342648193925</x:v>
      </x:c>
      <x:c r="G30" s="98" t="n">
        <x:v>18.669732506956773</x:v>
      </x:c>
      <x:c r="H30" s="98" t="n">
        <x:v>9.687636483830598</x:v>
      </x:c>
      <x:c r="I30" s="98" t="n">
        <x:v>11.313193730177808</x:v>
      </x:c>
      <x:c r="J30" s="98" t="n">
        <x:v>16.075418079544438</x:v>
      </x:c>
      <x:c r="K30" s="4"/>
    </x:row>
    <x:row r="31" ht="15.949999809265137">
      <x:c r="A31" s="6">
        <x:v>2009</x:v>
      </x:c>
      <x:c r="B31" s="98" t="n">
        <x:v>13.546963714026917</x:v>
      </x:c>
      <x:c r="D31" s="6">
        <x:v>2057</x:v>
      </x:c>
      <x:c r="E31" s="98" t="n">
        <x:v>10.061003079493851</x:v>
      </x:c>
      <x:c r="F31" s="98" t="n">
        <x:v>15.637462913905011</x:v>
      </x:c>
      <x:c r="G31" s="98" t="n">
        <x:v>25.412273618262613</x:v>
      </x:c>
      <x:c r="H31" s="98" t="n">
        <x:v>6.422144210781675</x:v>
      </x:c>
      <x:c r="I31" s="98" t="n">
        <x:v>10.885442166341619</x:v>
      </x:c>
      <x:c r="J31" s="98" t="n">
        <x:v>16.0787400378601</x:v>
      </x:c>
      <x:c r="K31" s="4"/>
    </x:row>
    <x:row r="32" ht="15.949999809265137">
      <x:c r="A32" s="24"/>
      <x:c r="B32" s="4"/>
      <x:c r="D32" s="6">
        <x:v>2058</x:v>
      </x:c>
      <x:c r="E32" s="98" t="n">
        <x:v>6.345430903965359</x:v>
      </x:c>
      <x:c r="F32" s="98" t="n">
        <x:v>9.21889610081114</x:v>
      </x:c>
      <x:c r="G32" s="98" t="n">
        <x:v>15.264725696964906</x:v>
      </x:c>
      <x:c r="H32" s="98" t="n">
        <x:v>7.155256454447345</x:v>
      </x:c>
      <x:c r="I32" s="98" t="n">
        <x:v>13.139387984674867</x:v>
      </x:c>
      <x:c r="J32" s="98" t="n">
        <x:v>25.11250649763092</x:v>
      </x:c>
      <x:c r="K32" s="4"/>
    </x:row>
    <x:row r="33" ht="15.949999809265137">
      <x:c r="A33" s="24"/>
      <x:c r="B33" s="4"/>
      <x:c r="D33" s="6">
        <x:v>2059</x:v>
      </x:c>
      <x:c r="E33" s="98" t="n">
        <x:v>8.270660229577336</x:v>
      </x:c>
      <x:c r="F33" s="98" t="n">
        <x:v>13.467028293801768</x:v>
      </x:c>
      <x:c r="G33" s="98" t="n">
        <x:v>15.713243114776423</x:v>
      </x:c>
      <x:c r="H33" s="98" t="n">
        <x:v>9.52849599247</x:v>
      </x:c>
      <x:c r="I33" s="98" t="n">
        <x:v>14.057158262034848</x:v>
      </x:c>
      <x:c r="J33" s="98" t="n">
        <x:v>19.149771332692172</x:v>
      </x:c>
      <x:c r="K33" s="4"/>
    </x:row>
    <x:row r="34" ht="15.949999809265137">
      <x:c r="A34" s="24"/>
      <x:c r="B34" s="4"/>
      <x:c r="D34" s="6">
        <x:v>2060</x:v>
      </x:c>
      <x:c r="E34" s="98" t="n">
        <x:v>9.051805598129668</x:v>
      </x:c>
      <x:c r="F34" s="98" t="n">
        <x:v>13.789400011761582</x:v>
      </x:c>
      <x:c r="G34" s="98" t="n">
        <x:v>17.18890675681164</x:v>
      </x:c>
      <x:c r="H34" s="98" t="n">
        <x:v>9.754694677423695</x:v>
      </x:c>
      <x:c r="I34" s="98" t="n">
        <x:v>14.525896475395388</x:v>
      </x:c>
      <x:c r="J34" s="98" t="n">
        <x:v>24.430937114646532</x:v>
      </x:c>
      <x:c r="K34" s="4"/>
    </x:row>
    <x:row r="35" ht="15.949999809265137">
      <x:c r="A35" s="24"/>
      <x:c r="B35" s="4"/>
      <x:c r="D35" s="6">
        <x:v>2061</x:v>
      </x:c>
      <x:c r="E35" s="98" t="n">
        <x:v>10.789530392607164</x:v>
      </x:c>
      <x:c r="F35" s="98" t="n">
        <x:v>17.96275825215315</x:v>
      </x:c>
      <x:c r="G35" s="98" t="n">
        <x:v>19.551846130745346</x:v>
      </x:c>
      <x:c r="H35" s="98" t="n">
        <x:v>7.875010805764587</x:v>
      </x:c>
      <x:c r="I35" s="98" t="n">
        <x:v>11.897071009473052</x:v>
      </x:c>
      <x:c r="J35" s="98" t="n">
        <x:v>18.73201644687307</x:v>
      </x:c>
      <x:c r="K35" s="4"/>
    </x:row>
    <x:row r="36" ht="15.949999809265137">
      <x:c r="A36" s="24"/>
      <x:c r="B36" s="4"/>
      <x:c r="D36" s="6">
        <x:v>2062</x:v>
      </x:c>
      <x:c r="E36" s="98" t="n">
        <x:v>7.011471408513368</x:v>
      </x:c>
      <x:c r="F36" s="98" t="n">
        <x:v>14.536300283002799</x:v>
      </x:c>
      <x:c r="G36" s="98" t="n">
        <x:v>19.282947236677654</x:v>
      </x:c>
      <x:c r="H36" s="98" t="n">
        <x:v>11.256379103912263</x:v>
      </x:c>
      <x:c r="I36" s="98" t="n">
        <x:v>14.923128771161204</x:v>
      </x:c>
      <x:c r="J36" s="98" t="n">
        <x:v>25.849809331887187</x:v>
      </x:c>
      <x:c r="K36" s="4"/>
    </x:row>
    <x:row r="37" ht="15.949999809265137">
      <x:c r="A37" s="24"/>
      <x:c r="B37" s="4"/>
      <x:c r="D37" s="6">
        <x:v>2063</x:v>
      </x:c>
      <x:c r="E37" s="98" t="n">
        <x:v>6.619073589570858</x:v>
      </x:c>
      <x:c r="F37" s="98" t="n">
        <x:v>10.635096278513682</x:v>
      </x:c>
      <x:c r="G37" s="98" t="n">
        <x:v>16.148233352646916</x:v>
      </x:c>
      <x:c r="H37" s="98" t="n">
        <x:v>6.806009319753404</x:v>
      </x:c>
      <x:c r="I37" s="98" t="n">
        <x:v>14.613073762647439</x:v>
      </x:c>
      <x:c r="J37" s="98" t="n">
        <x:v>16.32594178740583</x:v>
      </x:c>
      <x:c r="K37" s="4"/>
    </x:row>
    <x:row r="38" ht="15.949999809265137">
      <x:c r="A38" s="24"/>
      <x:c r="B38" s="4"/>
      <x:c r="D38" s="6">
        <x:v>2064</x:v>
      </x:c>
      <x:c r="E38" s="98" t="n">
        <x:v>9.76522159772629</x:v>
      </x:c>
      <x:c r="F38" s="98" t="n">
        <x:v>14.484414371166402</x:v>
      </x:c>
      <x:c r="G38" s="98" t="n">
        <x:v>18.03802238477271</x:v>
      </x:c>
      <x:c r="H38" s="98" t="n">
        <x:v>5.220393920384634</x:v>
      </x:c>
      <x:c r="I38" s="98" t="n">
        <x:v>14.491350320621567</x:v>
      </x:c>
      <x:c r="J38" s="98" t="n">
        <x:v>18.434065901470714</x:v>
      </x:c>
      <x:c r="K38" s="4"/>
    </x:row>
    <x:row r="39" ht="15.949999809265137">
      <x:c r="A39" s="24"/>
      <x:c r="B39" s="4"/>
      <x:c r="D39" s="6">
        <x:v>2065</x:v>
      </x:c>
      <x:c r="E39" s="98" t="n">
        <x:v>7.531188340901991</x:v>
      </x:c>
      <x:c r="F39" s="98" t="n">
        <x:v>10.626280757643539</x:v>
      </x:c>
      <x:c r="G39" s="98" t="n">
        <x:v>19.555754275209587</x:v>
      </x:c>
      <x:c r="H39" s="98" t="n">
        <x:v>4.137202309936462</x:v>
      </x:c>
      <x:c r="I39" s="98" t="n">
        <x:v>12.276394159129229</x:v>
      </x:c>
      <x:c r="J39" s="98" t="n">
        <x:v>22.87753757245033</x:v>
      </x:c>
      <x:c r="K39" s="4"/>
    </x:row>
    <x:row r="40" ht="15.949999809265137">
      <x:c r="A40" s="24"/>
      <x:c r="B40" s="4"/>
      <x:c r="D40" s="6">
        <x:v>2066</x:v>
      </x:c>
      <x:c r="E40" s="98" t="n">
        <x:v>9.940634827428985</x:v>
      </x:c>
      <x:c r="F40" s="98" t="n">
        <x:v>15.826087530325747</x:v>
      </x:c>
      <x:c r="G40" s="98" t="n">
        <x:v>24.824695225148563</x:v>
      </x:c>
      <x:c r="H40" s="98" t="n">
        <x:v>8.009837775364431</x:v>
      </x:c>
      <x:c r="I40" s="98" t="n">
        <x:v>11.906796137076842</x:v>
      </x:c>
      <x:c r="J40" s="98" t="n">
        <x:v>18.687920279786937</x:v>
      </x:c>
      <x:c r="K40" s="4"/>
    </x:row>
    <x:row r="41" ht="15.949999809265137">
      <x:c r="A41" s="24"/>
      <x:c r="B41" s="4"/>
      <x:c r="D41" s="6">
        <x:v>2067</x:v>
      </x:c>
      <x:c r="E41" s="98" t="n">
        <x:v>10.808152626319966</x:v>
      </x:c>
      <x:c r="F41" s="98" t="n">
        <x:v>16.902434313627463</x:v>
      </x:c>
      <x:c r="G41" s="98" t="n">
        <x:v>24.778693137486773</x:v>
      </x:c>
      <x:c r="H41" s="98" t="n">
        <x:v>9.315343504425378</x:v>
      </x:c>
      <x:c r="I41" s="98" t="n">
        <x:v>13.592057907062518</x:v>
      </x:c>
      <x:c r="J41" s="98" t="n">
        <x:v>17.092267681522532</x:v>
      </x:c>
      <x:c r="K41" s="4"/>
    </x:row>
    <x:row r="42" ht="15.949999809265137">
      <x:c r="A42" s="24"/>
      <x:c r="B42" s="4"/>
      <x:c r="D42" s="6">
        <x:v>2068</x:v>
      </x:c>
      <x:c r="E42" s="98" t="n">
        <x:v>12.990605444717767</x:v>
      </x:c>
      <x:c r="F42" s="98" t="n">
        <x:v>15.57673412865994</x:v>
      </x:c>
      <x:c r="G42" s="98" t="n">
        <x:v>24.3269300591199</x:v>
      </x:c>
      <x:c r="H42" s="98" t="n">
        <x:v>9.277306555326813</x:v>
      </x:c>
      <x:c r="I42" s="98" t="n">
        <x:v>11.87509175221912</x:v>
      </x:c>
      <x:c r="J42" s="98" t="n">
        <x:v>16.842873777378543</x:v>
      </x:c>
      <x:c r="K42" s="4"/>
    </x:row>
    <x:row r="43" ht="15.949999809265137">
      <x:c r="A43" s="24"/>
      <x:c r="B43" s="4"/>
      <x:c r="D43" s="6">
        <x:v>2069</x:v>
      </x:c>
      <x:c r="E43" s="98" t="n">
        <x:v>6.40412020198395</x:v>
      </x:c>
      <x:c r="F43" s="98" t="n">
        <x:v>11.616840965125427</x:v>
      </x:c>
      <x:c r="G43" s="98" t="n">
        <x:v>19.969701822587865</x:v>
      </x:c>
      <x:c r="H43" s="98" t="n">
        <x:v>8.84884827598398</x:v>
      </x:c>
      <x:c r="I43" s="98" t="n">
        <x:v>12.03940911297217</x:v>
      </x:c>
      <x:c r="J43" s="98" t="n">
        <x:v>24.54186419606875</x:v>
      </x:c>
      <x:c r="K43" s="4"/>
    </x:row>
    <x:row r="44" ht="15.949999809265137">
      <x:c r="A44" s="24"/>
      <x:c r="B44" s="4"/>
      <x:c r="D44" s="6">
        <x:v>2070</x:v>
      </x:c>
      <x:c r="E44" s="98" t="n">
        <x:v>7.532248720637983</x:v>
      </x:c>
      <x:c r="F44" s="98" t="n">
        <x:v>12.167137495849477</x:v>
      </x:c>
      <x:c r="G44" s="98" t="n">
        <x:v>17.74970194546156</x:v>
      </x:c>
      <x:c r="H44" s="98" t="n">
        <x:v>6.770830861354676</x:v>
      </x:c>
      <x:c r="I44" s="98" t="n">
        <x:v>15.080652490264288</x:v>
      </x:c>
      <x:c r="J44" s="98" t="n">
        <x:v>20.03295034549425</x:v>
      </x:c>
      <x:c r="K44" s="4"/>
    </x:row>
    <x:row r="45" ht="15.949999809265137">
      <x:c r="A45" s="24"/>
      <x:c r="B45" s="4"/>
      <x:c r="D45" s="6">
        <x:v>2071</x:v>
      </x:c>
      <x:c r="E45" s="98" t="n">
        <x:v>9.077289971249257</x:v>
      </x:c>
      <x:c r="F45" s="98" t="n">
        <x:v>16.88853496488958</x:v>
      </x:c>
      <x:c r="G45" s="98" t="n">
        <x:v>24.502151524859695</x:v>
      </x:c>
      <x:c r="H45" s="98" t="n">
        <x:v>9.478343772915027</x:v>
      </x:c>
      <x:c r="I45" s="98" t="n">
        <x:v>12.343390256185458</x:v>
      </x:c>
      <x:c r="J45" s="98" t="n">
        <x:v>23.079217437913794</x:v>
      </x:c>
      <x:c r="K45" s="4"/>
    </x:row>
    <x:row r="46" ht="15.949999809265137">
      <x:c r="A46" s="24"/>
      <x:c r="B46" s="4"/>
      <x:c r="D46" s="6">
        <x:v>2072</x:v>
      </x:c>
      <x:c r="E46" s="98" t="n">
        <x:v>11.153121679680124</x:v>
      </x:c>
      <x:c r="F46" s="98" t="n">
        <x:v>14.625553311926886</x:v>
      </x:c>
      <x:c r="G46" s="98" t="n">
        <x:v>24.8674765760743</x:v>
      </x:c>
      <x:c r="H46" s="98" t="n">
        <x:v>9.707674712193025</x:v>
      </x:c>
      <x:c r="I46" s="98" t="n">
        <x:v>11.380276595349628</x:v>
      </x:c>
      <x:c r="J46" s="98" t="n">
        <x:v>13.20899019433565</x:v>
      </x:c>
      <x:c r="K46" s="4"/>
    </x:row>
    <x:row r="47" ht="15.949999809265137">
      <x:c r="A47" s="24"/>
      <x:c r="B47" s="4"/>
      <x:c r="D47" s="6">
        <x:v>2073</x:v>
      </x:c>
      <x:c r="E47" s="98" t="n">
        <x:v>7.075061968667926</x:v>
      </x:c>
      <x:c r="F47" s="98" t="n">
        <x:v>10.754388941533886</x:v>
      </x:c>
      <x:c r="G47" s="98" t="n">
        <x:v>14.161460584285471</x:v>
      </x:c>
      <x:c r="H47" s="98" t="n">
        <x:v>8.113431199117398</x:v>
      </x:c>
      <x:c r="I47" s="98" t="n">
        <x:v>9.84533409598933</x:v>
      </x:c>
      <x:c r="J47" s="98" t="n">
        <x:v>14.47463223995144</x:v>
      </x:c>
      <x:c r="K47" s="4"/>
    </x:row>
    <x:row r="48" ht="15.949999809265137">
      <x:c r="D48" s="6">
        <x:v>2074</x:v>
      </x:c>
      <x:c r="E48" s="98" t="n">
        <x:v>5.609633083449481</x:v>
      </x:c>
      <x:c r="F48" s="98" t="n">
        <x:v>15.050162509450857</x:v>
      </x:c>
      <x:c r="G48" s="98" t="n">
        <x:v>26.191117251695225</x:v>
      </x:c>
      <x:c r="H48" s="98" t="n">
        <x:v>10.46807437211751</x:v>
      </x:c>
      <x:c r="I48" s="98" t="n">
        <x:v>14.21000778906162</x:v>
      </x:c>
      <x:c r="J48" s="98" t="n">
        <x:v>16.62199739405811</x:v>
      </x:c>
      <x:c r="K48" s="4"/>
    </x:row>
    <x:row r="49" ht="15.949999809265137">
      <x:c r="D49" s="6">
        <x:v>2075</x:v>
      </x:c>
      <x:c r="E49" s="98" t="n">
        <x:v>9.980358276312042</x:v>
      </x:c>
      <x:c r="F49" s="98" t="n">
        <x:v>16.535877890339208</x:v>
      </x:c>
      <x:c r="G49" s="98" t="n">
        <x:v>26.541604471605172</x:v>
      </x:c>
      <x:c r="H49" s="98" t="n">
        <x:v>10.897350811960951</x:v>
      </x:c>
      <x:c r="I49" s="98" t="n">
        <x:v>14.621110396120162</x:v>
      </x:c>
      <x:c r="J49" s="98" t="n">
        <x:v>18.60708824985155</x:v>
      </x:c>
      <x:c r="K49" s="4"/>
    </x:row>
    <x:row r="50" ht="15.949999809265137">
      <x:c r="D50" s="6">
        <x:v>2076</x:v>
      </x:c>
      <x:c r="E50" s="98" t="n">
        <x:v>4.54756938487997</x:v>
      </x:c>
      <x:c r="F50" s="98" t="n">
        <x:v>13.820438149623254</x:v>
      </x:c>
      <x:c r="G50" s="98" t="n">
        <x:v>24.351019174287913</x:v>
      </x:c>
      <x:c r="H50" s="98" t="n">
        <x:v>8.056641016348397</x:v>
      </x:c>
      <x:c r="I50" s="98" t="n">
        <x:v>11.71353745325124</x:v>
      </x:c>
      <x:c r="J50" s="98" t="n">
        <x:v>18.41114512565516</x:v>
      </x:c>
      <x:c r="K50" s="4"/>
    </x:row>
    <x:row r="51" ht="15.949999809265137">
      <x:c r="D51" s="6">
        <x:v>2077</x:v>
      </x:c>
      <x:c r="E51" s="98" t="n">
        <x:v>5.8483504922551</x:v>
      </x:c>
      <x:c r="F51" s="98" t="n">
        <x:v>11.28567728698111</x:v>
      </x:c>
      <x:c r="G51" s="98" t="n">
        <x:v>17.50625832479157</x:v>
      </x:c>
      <x:c r="H51" s="98" t="n">
        <x:v>11.428597651544884</x:v>
      </x:c>
      <x:c r="I51" s="98" t="n">
        <x:v>17.116922702673357</x:v>
      </x:c>
      <x:c r="J51" s="98" t="n">
        <x:v>29.705673281590613</x:v>
      </x:c>
      <x:c r="K51" s="4"/>
    </x:row>
    <x:row r="52" ht="15.949999809265137">
      <x:c r="D52" s="6">
        <x:v>2078</x:v>
      </x:c>
      <x:c r="E52" s="98" t="n">
        <x:v>11.360442555157707</x:v>
      </x:c>
      <x:c r="F52" s="98" t="n">
        <x:v>18.823604552439324</x:v>
      </x:c>
      <x:c r="G52" s="98" t="n">
        <x:v>23.83139903218351</x:v>
      </x:c>
      <x:c r="H52" s="98" t="n">
        <x:v>9.814657662081089</x:v>
      </x:c>
      <x:c r="I52" s="98" t="n">
        <x:v>13.619603703930995</x:v>
      </x:c>
      <x:c r="J52" s="98" t="n">
        <x:v>20.277284941248364</x:v>
      </x:c>
      <x:c r="K52" s="4"/>
    </x:row>
    <x:row r="53" ht="15.949999809265137">
      <x:c r="D53" s="6">
        <x:v>2079</x:v>
      </x:c>
      <x:c r="E53" s="98" t="n">
        <x:v>8.045836338010277</x:v>
      </x:c>
      <x:c r="F53" s="98" t="n">
        <x:v>14.366773537491877</x:v>
      </x:c>
      <x:c r="G53" s="98" t="n">
        <x:v>26.582432336791065</x:v>
      </x:c>
      <x:c r="H53" s="98" t="n">
        <x:v>5.601421240990896</x:v>
      </x:c>
      <x:c r="I53" s="98" t="n">
        <x:v>12.587748710150969</x:v>
      </x:c>
      <x:c r="J53" s="98" t="n">
        <x:v>19.22933888164865</x:v>
      </x:c>
      <x:c r="K53" s="4"/>
    </x:row>
    <x:row r="54" ht="15.949999809265137">
      <x:c r="D54" s="6">
        <x:v>2080</x:v>
      </x:c>
      <x:c r="E54" s="98" t="n">
        <x:v>5.897427630781427</x:v>
      </x:c>
      <x:c r="F54" s="98" t="n">
        <x:v>9.28329789376468</x:v>
      </x:c>
      <x:c r="G54" s="98" t="n">
        <x:v>16.733332314139385</x:v>
      </x:c>
      <x:c r="H54" s="98" t="n">
        <x:v>9.945359453666581</x:v>
      </x:c>
      <x:c r="I54" s="98" t="n">
        <x:v>12.82605580117707</x:v>
      </x:c>
      <x:c r="J54" s="98" t="n">
        <x:v>18.45685600737953</x:v>
      </x:c>
      <x:c r="K54" s="4"/>
    </x:row>
    <x:row r="55" ht="15.949999809265137">
      <x:c r="D55" s="6">
        <x:v>2081</x:v>
      </x:c>
      <x:c r="E55" s="98" t="n">
        <x:v>8.88288191532552</x:v>
      </x:c>
      <x:c r="F55" s="98" t="n">
        <x:v>12.781017016662414</x:v>
      </x:c>
      <x:c r="G55" s="98" t="n">
        <x:v>18.038482167609324</x:v>
      </x:c>
      <x:c r="H55" s="98" t="n">
        <x:v>7.511704902538004</x:v>
      </x:c>
      <x:c r="I55" s="98" t="n">
        <x:v>16.492554637316026</x:v>
      </x:c>
      <x:c r="J55" s="98" t="n">
        <x:v>19.180499850192046</x:v>
      </x:c>
      <x:c r="K55" s="4"/>
    </x:row>
    <x:row r="56" ht="15.949999809265137">
      <x:c r="D56" s="6">
        <x:v>2082</x:v>
      </x:c>
      <x:c r="E56" s="98" t="n">
        <x:v>6.178445819532431</x:v>
      </x:c>
      <x:c r="F56" s="98" t="n">
        <x:v>11.713881044743886</x:v>
      </x:c>
      <x:c r="G56" s="98" t="n">
        <x:v>15.83929638655224</x:v>
      </x:c>
      <x:c r="H56" s="98" t="n">
        <x:v>5.204445255613256</x:v>
      </x:c>
      <x:c r="I56" s="98" t="n">
        <x:v>10.304588131071814</x:v>
      </x:c>
      <x:c r="J56" s="98" t="n">
        <x:v>19.05999152276205</x:v>
      </x:c>
      <x:c r="K56" s="4"/>
    </x:row>
    <x:row r="57" ht="15.949999809265137">
      <x:c r="D57" s="6">
        <x:v>2083</x:v>
      </x:c>
      <x:c r="E57" s="98" t="n">
        <x:v>7.629403962423122</x:v>
      </x:c>
      <x:c r="F57" s="98" t="n">
        <x:v>11.446811011311462</x:v>
      </x:c>
      <x:c r="G57" s="98" t="n">
        <x:v>17.655174110362843</x:v>
      </x:c>
      <x:c r="H57" s="98" t="n">
        <x:v>10.61142037952069</x:v>
      </x:c>
      <x:c r="I57" s="98" t="n">
        <x:v>14.912245653018587</x:v>
      </x:c>
      <x:c r="J57" s="98" t="n">
        <x:v>23.94537013525024</x:v>
      </x:c>
      <x:c r="K57" s="4"/>
    </x:row>
    <x:row r="58" ht="15.949999809265137">
      <x:c r="D58" s="6">
        <x:v>2084</x:v>
      </x:c>
      <x:c r="E58" s="98" t="n">
        <x:v>8.234873507180316</x:v>
      </x:c>
      <x:c r="F58" s="98" t="n">
        <x:v>12.865039622944892</x:v>
      </x:c>
      <x:c r="G58" s="98" t="n">
        <x:v>17.408518297085674</x:v>
      </x:c>
      <x:c r="H58" s="98" t="n">
        <x:v>7.5506797265973145</x:v>
      </x:c>
      <x:c r="I58" s="98" t="n">
        <x:v>11.378523409708707</x:v>
      </x:c>
      <x:c r="J58" s="98" t="n">
        <x:v>16.438388908462017</x:v>
      </x:c>
      <x:c r="K58" s="4"/>
    </x:row>
    <x:row r="59" ht="15.949999809265137">
      <x:c r="D59" s="6">
        <x:v>2085</x:v>
      </x:c>
      <x:c r="E59" s="98" t="n">
        <x:v>8.013826141754159</x:v>
      </x:c>
      <x:c r="F59" s="98" t="n">
        <x:v>10.83059390266402</x:v>
      </x:c>
      <x:c r="G59" s="98" t="n">
        <x:v>19.390770592934725</x:v>
      </x:c>
      <x:c r="H59" s="98" t="n">
        <x:v>4.931937478997051</x:v>
      </x:c>
      <x:c r="I59" s="98" t="n">
        <x:v>14.423327416522387</x:v>
      </x:c>
      <x:c r="J59" s="98" t="n">
        <x:v>20.88775526691605</x:v>
      </x:c>
      <x:c r="K59" s="4"/>
    </x:row>
    <x:row r="60" ht="15.949999809265137">
      <x:c r="D60" s="6">
        <x:v>2086</x:v>
      </x:c>
      <x:c r="E60" s="98" t="n">
        <x:v>8.280259760613834</x:v>
      </x:c>
      <x:c r="F60" s="98" t="n">
        <x:v>11.804244920660643</x:v>
      </x:c>
      <x:c r="G60" s="98" t="n">
        <x:v>16.731890202452483</x:v>
      </x:c>
      <x:c r="H60" s="98" t="n">
        <x:v>6.5363353114843035</x:v>
      </x:c>
      <x:c r="I60" s="98" t="n">
        <x:v>15.301050644764079</x:v>
      </x:c>
      <x:c r="J60" s="98" t="n">
        <x:v>18.605153566315877</x:v>
      </x:c>
      <x:c r="K60" s="4"/>
    </x:row>
    <x:row r="61" ht="15.949999809265137">
      <x:c r="D61" s="6">
        <x:v>2087</x:v>
      </x:c>
      <x:c r="E61" s="98" t="n">
        <x:v>4.952627609089655</x:v>
      </x:c>
      <x:c r="F61" s="98" t="n">
        <x:v>10.856753502500338</x:v>
      </x:c>
      <x:c r="G61" s="98" t="n">
        <x:v>18.307328593957173</x:v>
      </x:c>
      <x:c r="H61" s="98" t="n">
        <x:v>9.522562795425486</x:v>
      </x:c>
      <x:c r="I61" s="98" t="n">
        <x:v>13.92736777229291</x:v>
      </x:c>
      <x:c r="J61" s="98" t="n">
        <x:v>21.2305823484844</x:v>
      </x:c>
      <x:c r="K61" s="4"/>
    </x:row>
    <x:row r="62" ht="15.949999809265137">
      <x:c r="D62" s="6">
        <x:v>2088</x:v>
      </x:c>
      <x:c r="E62" s="98" t="n">
        <x:v>8.22597695773558</x:v>
      </x:c>
      <x:c r="F62" s="98" t="n">
        <x:v>13.378469269922558</x:v>
      </x:c>
      <x:c r="G62" s="98" t="n">
        <x:v>18.04959244996758</x:v>
      </x:c>
      <x:c r="H62" s="98" t="n">
        <x:v>6.931327378948885</x:v>
      </x:c>
      <x:c r="I62" s="98" t="n">
        <x:v>9.751931624349506</x:v>
      </x:c>
      <x:c r="J62" s="98" t="n">
        <x:v>15.198156754876296</x:v>
      </x:c>
      <x:c r="K62" s="4"/>
    </x:row>
    <x:row r="63" ht="15.949999809265137">
      <x:c r="D63" s="6">
        <x:v>2089</x:v>
      </x:c>
      <x:c r="E63" s="98" t="n">
        <x:v>8.12648760396091</x:v>
      </x:c>
      <x:c r="F63" s="98" t="n">
        <x:v>17.072857469332348</x:v>
      </x:c>
      <x:c r="G63" s="98" t="n">
        <x:v>25.23000868785969</x:v>
      </x:c>
      <x:c r="H63" s="98" t="n">
        <x:v>7.575459682448079</x:v>
      </x:c>
      <x:c r="I63" s="98" t="n">
        <x:v>19.910346205672752</x:v>
      </x:c>
      <x:c r="J63" s="98" t="n">
        <x:v>25.137534637563956</x:v>
      </x:c>
      <x:c r="K63" s="4"/>
    </x:row>
    <x:row r="64" ht="15.949999809265137">
      <x:c r="D64" s="6">
        <x:v>2090</x:v>
      </x:c>
      <x:c r="E64" s="98" t="n">
        <x:v>8.517625508795563</x:v>
      </x:c>
      <x:c r="F64" s="98" t="n">
        <x:v>16.3043955535718</x:v>
      </x:c>
      <x:c r="G64" s="98" t="n">
        <x:v>27.4382152975419</x:v>
      </x:c>
      <x:c r="H64" s="98" t="n">
        <x:v>8.580852561364402</x:v>
      </x:c>
      <x:c r="I64" s="98" t="n">
        <x:v>13.331384101384707</x:v>
      </x:c>
      <x:c r="J64" s="98" t="n">
        <x:v>18.434253630272146</x:v>
      </x:c>
      <x:c r="K64" s="4"/>
    </x:row>
    <x:row r="65" ht="15.949999809265137">
      <x:c r="D65" s="6">
        <x:v>2091</x:v>
      </x:c>
      <x:c r="E65" s="98" t="n">
        <x:v>7.740025948496903</x:v>
      </x:c>
      <x:c r="F65" s="99" t="n">
        <x:v>12.35016393014486</x:v>
      </x:c>
      <x:c r="G65" s="99" t="n">
        <x:v>15.724112347463707</x:v>
      </x:c>
      <x:c r="H65" s="99" t="n">
        <x:v>9.220473478645664</x:v>
      </x:c>
      <x:c r="I65" s="99" t="n">
        <x:v>14.483084397092862</x:v>
      </x:c>
      <x:c r="J65" s="99" t="n">
        <x:v>23.829472184370843</x:v>
      </x:c>
      <x:c r="K65" s="4"/>
    </x:row>
    <x:row r="66" ht="15.949999809265137">
      <x:c r="D66" s="6">
        <x:v>2092</x:v>
      </x:c>
      <x:c r="E66" s="98" t="n">
        <x:v>11.792799702348296</x:v>
      </x:c>
      <x:c r="F66" s="99" t="n">
        <x:v>14.513740279408267</x:v>
      </x:c>
      <x:c r="G66" s="99" t="n">
        <x:v>25.68937529807741</x:v>
      </x:c>
      <x:c r="H66" s="99" t="n">
        <x:v>6.907424799856033</x:v>
      </x:c>
      <x:c r="I66" s="99" t="n">
        <x:v>14.042108810213207</x:v>
      </x:c>
      <x:c r="J66" s="99" t="n">
        <x:v>22.52316883655765</x:v>
      </x:c>
      <x:c r="K66" s="4"/>
    </x:row>
    <x:row r="67" ht="15.949999809265137">
      <x:c r="D67" s="6">
        <x:v>2093</x:v>
      </x:c>
      <x:c r="E67" s="98" t="n">
        <x:v>8.834679563765722</x:v>
      </x:c>
      <x:c r="F67" s="99" t="n">
        <x:v>12.056855032437554</x:v>
      </x:c>
      <x:c r="G67" s="99" t="n">
        <x:v>15.606178173014788</x:v>
      </x:c>
      <x:c r="H67" s="99" t="n">
        <x:v>7.028650014568771</x:v>
      </x:c>
      <x:c r="I67" s="99" t="n">
        <x:v>12.033422745507364</x:v>
      </x:c>
      <x:c r="J67" s="99" t="n">
        <x:v>21.699437229773633</x:v>
      </x:c>
      <x:c r="K67" s="4"/>
    </x:row>
    <x:row r="68" ht="15.949999809265137">
      <x:c r="D68" s="6">
        <x:v>2094</x:v>
      </x:c>
      <x:c r="E68" s="98" t="n">
        <x:v>12.803631399433009</x:v>
      </x:c>
      <x:c r="F68" s="99" t="n">
        <x:v>15.484477847724154</x:v>
      </x:c>
      <x:c r="G68" s="99" t="n">
        <x:v>19.420470265336874</x:v>
      </x:c>
      <x:c r="H68" s="99" t="n">
        <x:v>3.478452125252816</x:v>
      </x:c>
      <x:c r="I68" s="99" t="n">
        <x:v>12.155239039442986</x:v>
      </x:c>
      <x:c r="J68" s="99" t="n">
        <x:v>19.457935407188653</x:v>
      </x:c>
      <x:c r="K68" s="4"/>
    </x:row>
    <x:row r="69" ht="15.949999809265137">
      <x:c r="D69" s="6">
        <x:v>2095</x:v>
      </x:c>
      <x:c r="E69" s="98" t="n">
        <x:v>9.418201705016374</x:v>
      </x:c>
      <x:c r="F69" s="99" t="n">
        <x:v>15.664602666841908</x:v>
      </x:c>
      <x:c r="G69" s="99" t="n">
        <x:v>23.33867597849392</x:v>
      </x:c>
      <x:c r="H69" s="99" t="n">
        <x:v>5.737788838908246</x:v>
      </x:c>
      <x:c r="I69" s="99" t="n">
        <x:v>15.242497783287856</x:v>
      </x:c>
      <x:c r="J69" s="99" t="n">
        <x:v>22.22405654061384</x:v>
      </x:c>
      <x:c r="K69" s="4"/>
    </x:row>
    <x:row r="70" ht="15.949999809265137">
      <x:c r="D70" s="6">
        <x:v>2096</x:v>
      </x:c>
      <x:c r="E70" s="98" t="n">
        <x:v>8.81462189309093</x:v>
      </x:c>
      <x:c r="F70" s="99" t="n">
        <x:v>13.014694657980074</x:v>
      </x:c>
      <x:c r="G70" s="99" t="n">
        <x:v>22.5367807468431</x:v>
      </x:c>
      <x:c r="H70" s="99" t="n">
        <x:v>9.155263803178386</x:v>
      </x:c>
      <x:c r="I70" s="99" t="n">
        <x:v>14.825013618934161</x:v>
      </x:c>
      <x:c r="J70" s="99" t="n">
        <x:v>22.644094150251927</x:v>
      </x:c>
      <x:c r="K70" s="4"/>
    </x:row>
    <x:row r="71" ht="15.949999809265137">
      <x:c r="D71" s="6">
        <x:v>2097</x:v>
      </x:c>
      <x:c r="E71" s="98" t="n">
        <x:v>5.686199100858218</x:v>
      </x:c>
      <x:c r="F71" s="99" t="n">
        <x:v>12.804785167048728</x:v>
      </x:c>
      <x:c r="G71" s="99" t="n">
        <x:v>19.140781986532495</x:v>
      </x:c>
      <x:c r="H71" s="99" t="n">
        <x:v>3.7297030796496635</x:v>
      </x:c>
      <x:c r="I71" s="99" t="n">
        <x:v>12.790556788787535</x:v>
      </x:c>
      <x:c r="J71" s="99" t="n">
        <x:v>20.796816512769457</x:v>
      </x:c>
      <x:c r="K71" s="4"/>
    </x:row>
    <x:row r="72" ht="15.949999809265137">
      <x:c r="D72" s="6">
        <x:v>2098</x:v>
      </x:c>
      <x:c r="E72" s="98" t="n">
        <x:v>8.064691367737503</x:v>
      </x:c>
      <x:c r="F72" s="99" t="n">
        <x:v>14.647631556897663</x:v>
      </x:c>
      <x:c r="G72" s="99" t="n">
        <x:v>21.007914813253088</x:v>
      </x:c>
      <x:c r="H72" s="99" t="n">
        <x:v>7.660592209165451</x:v>
      </x:c>
      <x:c r="I72" s="99" t="n">
        <x:v>12.489924236697819</x:v>
      </x:c>
      <x:c r="J72" s="99" t="n">
        <x:v>17.97185955908539</x:v>
      </x:c>
      <x:c r="K72" s="4"/>
    </x:row>
    <x:row r="73" ht="15.949999809265137">
      <x:c r="D73" s="6">
        <x:v>2099</x:v>
      </x:c>
      <x:c r="E73" s="98" t="n">
        <x:v>5.395316793136537</x:v>
      </x:c>
      <x:c r="F73" s="99" t="n">
        <x:v>19.97878958613026</x:v>
      </x:c>
      <x:c r="G73" s="99" t="n">
        <x:v>28.832480033227398</x:v>
      </x:c>
      <x:c r="H73" s="99" t="n">
        <x:v>9.79378424668742</x:v>
      </x:c>
      <x:c r="I73" s="99" t="n">
        <x:v>16.497912715977016</x:v>
      </x:c>
      <x:c r="J73" s="99" t="n">
        <x:v>19.22731874508313</x:v>
      </x:c>
      <x:c r="K73" s="4"/>
    </x:row>
    <x:row r="74" ht="15.949999809265137">
      <x:c r="H74" s="4"/>
      <x:c r="I74" s="4"/>
      <x:c r="J74" s="4"/>
      <x:c r="K74" s="4"/>
    </x:row>
    <x:row r="75" ht="15.949999809265137">
      <x:c r="H75" s="4"/>
      <x:c r="I75" s="4"/>
      <x:c r="J75" s="4"/>
      <x:c r="K75" s="4"/>
    </x:row>
    <x:row r="76" ht="15.949999809265137">
      <x:c r="H76" s="4"/>
      <x:c r="I76" s="4"/>
      <x:c r="J76" s="4"/>
      <x:c r="K76" s="4"/>
    </x:row>
    <x:row r="77" ht="15.949999809265137">
      <x:c r="H77" s="4"/>
      <x:c r="I77" s="4"/>
      <x:c r="J77" s="4"/>
      <x:c r="K77" s="4"/>
    </x:row>
    <x:row r="78" ht="15.949999809265137">
      <x:c r="H78" s="4"/>
      <x:c r="I78" s="4"/>
      <x:c r="J78" s="4"/>
      <x:c r="K78" s="4"/>
    </x:row>
    <x:row r="79" ht="15.949999809265137">
      <x:c r="H79" s="4"/>
      <x:c r="I79" s="4"/>
      <x:c r="J79" s="4"/>
      <x:c r="K79" s="4"/>
    </x:row>
    <x:row r="80" ht="15.949999809265137">
      <x:c r="H80" s="4"/>
      <x:c r="I80" s="4"/>
      <x:c r="J80" s="4"/>
      <x:c r="K80" s="4"/>
    </x:row>
    <x:row r="81" ht="15.949999809265137">
      <x:c r="H81" s="4"/>
      <x:c r="I81" s="4"/>
      <x:c r="J81" s="4"/>
      <x:c r="K81" s="4"/>
    </x:row>
    <x:row r="82" ht="15.949999809265137">
      <x:c r="H82" s="4"/>
      <x:c r="I82" s="4"/>
      <x:c r="J82" s="4"/>
      <x:c r="K82" s="4"/>
    </x:row>
    <x:row r="83" ht="15.949999809265137">
      <x:c r="H83" s="4"/>
      <x:c r="I83" s="4"/>
      <x:c r="J83" s="4"/>
      <x:c r="K83" s="4"/>
    </x:row>
    <x:row r="84" ht="15.949999809265137">
      <x:c r="H84" s="4"/>
      <x:c r="I84" s="4"/>
      <x:c r="J84" s="4"/>
      <x:c r="K84" s="4"/>
    </x:row>
    <x:row r="85" ht="15.949999809265137">
      <x:c r="H85" s="4"/>
      <x:c r="I85" s="4"/>
      <x:c r="J85" s="4"/>
      <x:c r="K85" s="4"/>
      <x:c r="L85" s="4"/>
    </x:row>
    <x:row r="86" ht="15.949999809265137">
      <x:c r="H86" s="4"/>
      <x:c r="I86" s="4"/>
      <x:c r="J86" s="4"/>
      <x:c r="K86" s="4"/>
      <x:c r="L86" s="4"/>
    </x:row>
    <x:row r="87" ht="15.949999809265137">
      <x:c r="H87" s="4"/>
      <x:c r="I87" s="4"/>
      <x:c r="J87" s="4"/>
      <x:c r="K87" s="4"/>
      <x:c r="L87" s="4"/>
    </x:row>
    <x:row r="88" ht="15.949999809265137">
      <x:c r="H88" s="4"/>
      <x:c r="I88" s="4"/>
      <x:c r="J88" s="4"/>
      <x:c r="K88" s="4"/>
      <x:c r="L88" s="4"/>
    </x:row>
    <x:row r="89" ht="15.949999809265137">
      <x:c r="H89" s="4"/>
      <x:c r="I89" s="4"/>
      <x:c r="J89" s="4"/>
      <x:c r="K89" s="4"/>
      <x:c r="L89" s="4"/>
    </x:row>
    <x:row r="90" ht="15.949999809265137">
      <x:c r="H90" s="4"/>
      <x:c r="I90" s="4"/>
      <x:c r="J90" s="4"/>
      <x:c r="K90" s="4"/>
      <x:c r="L90" s="4"/>
    </x:row>
    <x:row r="91" ht="15.949999809265137">
      <x:c r="H91" s="4"/>
      <x:c r="I91" s="4"/>
      <x:c r="J91" s="4"/>
      <x:c r="K91" s="4"/>
      <x:c r="L91" s="4"/>
    </x:row>
    <x:row r="92" ht="15.949999809265137">
      <x:c r="H92" s="4"/>
      <x:c r="I92" s="4"/>
      <x:c r="J92" s="4"/>
      <x:c r="K92" s="4"/>
      <x:c r="L92" s="4"/>
    </x:row>
    <x:row r="93" ht="15.949999809265137">
      <x:c r="H93" s="4"/>
      <x:c r="I93" s="4"/>
      <x:c r="J93" s="4"/>
      <x:c r="K93" s="4"/>
      <x:c r="L93" s="4"/>
    </x:row>
    <x:row r="94" ht="15.949999809265137">
      <x:c r="H94" s="4"/>
      <x:c r="I94" s="4"/>
      <x:c r="J94" s="4"/>
      <x:c r="K94" s="4"/>
      <x:c r="L94" s="4"/>
    </x:row>
    <x:row r="95" ht="15.949999809265137">
      <x:c r="K95" s="4"/>
      <x:c r="L95" s="4"/>
    </x:row>
    <x:row r="96" ht="15.949999809265137">
      <x:c r="K96" s="4"/>
      <x:c r="L96" s="4"/>
    </x:row>
    <x:row r="97" ht="15.949999809265137">
      <x:c r="K97" s="4"/>
      <x:c r="L97" s="4"/>
    </x:row>
    <x:row r="98" ht="15.949999809265137">
      <x:c r="K98" s="4"/>
      <x:c r="L98" s="4"/>
    </x:row>
    <x:row r="99" ht="15.949999809265137">
      <x:c r="K99" s="4"/>
      <x:c r="L99" s="4"/>
    </x:row>
    <x:row r="100" ht="15.949999809265137">
      <x:c r="K100" s="4"/>
      <x:c r="L100" s="4"/>
    </x:row>
    <x:row r="101" ht="15.949999809265137">
      <x:c r="K101" s="4"/>
      <x:c r="L101" s="4"/>
    </x:row>
    <x:row r="102" ht="15.949999809265137">
      <x:c r="K102" s="4"/>
      <x:c r="L102" s="4"/>
    </x:row>
    <x:row r="103" ht="15.949999809265137">
      <x:c r="K103" s="4"/>
      <x:c r="L103" s="4"/>
    </x:row>
    <x:row r="104" ht="15.949999809265137">
      <x:c r="K104" s="4"/>
      <x:c r="L104" s="4"/>
    </x:row>
    <x:row r="105" ht="15.949999809265137">
      <x:c r="K105" s="4"/>
      <x:c r="L105" s="4"/>
    </x:row>
    <x:row r="106" ht="15.949999809265137">
      <x:c r="K106" s="4"/>
      <x:c r="L106" s="4"/>
    </x:row>
    <x:row r="107" ht="15.949999809265137">
      <x:c r="K107" s="4"/>
      <x:c r="L107" s="4"/>
    </x:row>
    <x:row r="108" ht="15.949999809265137">
      <x:c r="K108" s="4"/>
      <x:c r="L108" s="4"/>
    </x:row>
    <x:row r="109" ht="15.949999809265137">
      <x:c r="K109" s="4"/>
      <x:c r="L109" s="4"/>
    </x:row>
    <x:row r="110" ht="15.949999809265137">
      <x:c r="K110" s="4"/>
      <x:c r="L110" s="4"/>
    </x:row>
    <x:row r="111" ht="15.949999809265137">
      <x:c r="K111" s="4"/>
      <x:c r="L111" s="4"/>
    </x:row>
    <x:row r="112" ht="15.949999809265137">
      <x:c r="K112" s="4"/>
      <x:c r="L112" s="4"/>
    </x:row>
    <x:row r="113" ht="15.949999809265137">
      <x:c r="K113" s="4"/>
      <x:c r="L113" s="4"/>
    </x:row>
    <x:row r="114" ht="15.949999809265137">
      <x:c r="K114" s="4"/>
      <x:c r="L114" s="4"/>
    </x:row>
  </x:sheetData>
  <x:mergeCells>
    <x:mergeCell ref="A2:O2"/>
    <x:mergeCell ref="A3:B3"/>
    <x:mergeCell ref="D3:O3"/>
    <x:mergeCell ref="A4:A6"/>
    <x:mergeCell ref="B4:B6"/>
    <x:mergeCell ref="C4:C6"/>
    <x:mergeCell ref="D4:I4"/>
    <x:mergeCell ref="J4:O4"/>
    <x:mergeCell ref="D5:F5"/>
    <x:mergeCell ref="G5:I5"/>
    <x:mergeCell ref="M5:O5"/>
    <x:mergeCell ref="A7:A8"/>
    <x:mergeCell ref="B7:B8"/>
    <x:mergeCell ref="C7:C8"/>
    <x:mergeCell ref="A10:B10"/>
    <x:mergeCell ref="D10:J10"/>
    <x:mergeCell ref="D11:D13"/>
    <x:mergeCell ref="E11:J11"/>
    <x:mergeCell ref="E12:G12"/>
    <x:mergeCell ref="H12:J12"/>
    <x:mergeCell ref="J5:L5"/>
  </x:mergeCells>
  <x:pageMargins left="0.7" right="0.7" top="0.75" bottom="0.75" header="0.3" footer="0.3"/>
  <x:legacyDrawing xmlns:r="http://schemas.openxmlformats.org/officeDocument/2006/relationships" r:id="R60c39ce4c32945ee"/>
</x:worksheet>
</file>

<file path=xl/worksheets/sheet3.xml><?xml version="1.0" encoding="utf-8"?>
<x:worksheet xmlns:x="http://schemas.openxmlformats.org/spreadsheetml/2006/main">
  <x:sheetFormatPr defaultRowHeight="14.449999809265137"/>
  <x:cols>
    <x:col min="1" max="1" width="13.7109375" customWidth="1"/>
    <x:col min="2" max="2" width="23.7109375" customWidth="1"/>
    <x:col min="3" max="21" width="11.140625" customWidth="1"/>
  </x:cols>
  <x:sheetData>
    <x:row r="2" ht="15.949999809265137" customHeight="1">
      <x:c r="A2" s="80" t="s">
        <x:v>41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5"/>
    </x:row>
    <x:row r="3" ht="15.949999809265137" customHeight="1">
      <x:c r="A3" s="46" t="s">
        <x:v>11</x:v>
      </x:c>
      <x:c r="B3" s="47"/>
      <x:c r="C3" s="14" t="s">
        <x:v>20</x:v>
      </x:c>
      <x:c r="D3" s="48" t="s">
        <x:v>21</x:v>
      </x:c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50"/>
    </x:row>
    <x:row r="4" ht="15.949999809265137">
      <x:c r="A4" s="51" t="s">
        <x:v>22</x:v>
      </x:c>
      <x:c r="B4" s="54" t="s">
        <x:v>23</x:v>
      </x:c>
      <x:c r="C4" s="54" t="s">
        <x:v>24</x:v>
      </x:c>
      <x:c r="D4" s="57" t="s">
        <x:v>25</x:v>
      </x:c>
      <x:c r="E4" s="58"/>
      <x:c r="F4" s="58"/>
      <x:c r="G4" s="58"/>
      <x:c r="H4" s="58"/>
      <x:c r="I4" s="59"/>
      <x:c r="J4" s="60" t="s">
        <x:v>26</x:v>
      </x:c>
      <x:c r="K4" s="61"/>
      <x:c r="L4" s="61"/>
      <x:c r="M4" s="61"/>
      <x:c r="N4" s="61"/>
      <x:c r="O4" s="62"/>
    </x:row>
    <x:row r="5" ht="15.949999809265137" customHeight="1">
      <x:c r="A5" s="52"/>
      <x:c r="B5" s="55"/>
      <x:c r="C5" s="55"/>
      <x:c r="D5" s="63" t="s">
        <x:v>27</x:v>
      </x:c>
      <x:c r="E5" s="63"/>
      <x:c r="F5" s="63"/>
      <x:c r="G5" s="63" t="s">
        <x:v>28</x:v>
      </x:c>
      <x:c r="H5" s="63"/>
      <x:c r="I5" s="63"/>
      <x:c r="J5" s="37" t="s">
        <x:v>27</x:v>
      </x:c>
      <x:c r="K5" s="37"/>
      <x:c r="L5" s="37"/>
      <x:c r="M5" s="37" t="s">
        <x:v>28</x:v>
      </x:c>
      <x:c r="N5" s="37"/>
      <x:c r="O5" s="64"/>
    </x:row>
    <x:row r="6" ht="32.099998474121094">
      <x:c r="A6" s="53"/>
      <x:c r="B6" s="56"/>
      <x:c r="C6" s="56"/>
      <x:c r="D6" s="18" t="s">
        <x:v>29</x:v>
      </x:c>
      <x:c r="E6" s="18" t="s">
        <x:v>30</x:v>
      </x:c>
      <x:c r="F6" s="18" t="s">
        <x:v>31</x:v>
      </x:c>
      <x:c r="G6" s="18" t="s">
        <x:v>29</x:v>
      </x:c>
      <x:c r="H6" s="18" t="s">
        <x:v>30</x:v>
      </x:c>
      <x:c r="I6" s="18" t="s">
        <x:v>31</x:v>
      </x:c>
      <x:c r="J6" s="19" t="s">
        <x:v>29</x:v>
      </x:c>
      <x:c r="K6" s="19" t="s">
        <x:v>30</x:v>
      </x:c>
      <x:c r="L6" s="19" t="s">
        <x:v>31</x:v>
      </x:c>
      <x:c r="M6" s="19" t="s">
        <x:v>29</x:v>
      </x:c>
      <x:c r="N6" s="19" t="s">
        <x:v>30</x:v>
      </x:c>
      <x:c r="O6" s="20" t="s">
        <x:v>31</x:v>
      </x:c>
    </x:row>
    <x:row r="7" ht="86.0999984741211" customHeight="1">
      <x:c r="A7" s="38" t="s">
        <x:v>7</x:v>
      </x:c>
      <x:c r="B7" s="38" t="s">
        <x:v>42</x:v>
      </x:c>
      <x:c r="C7" s="100" t="n">
        <x:v>0.8493467997093558</x:v>
      </x:c>
      <x:c r="D7" s="101" t="n">
        <x:v>0.40655225448282806</x:v>
      </x:c>
      <x:c r="E7" s="101" t="n">
        <x:v>1.994569877535315</x:v>
      </x:c>
      <x:c r="F7" s="101" t="n">
        <x:v>4.518839688944975</x:v>
      </x:c>
      <x:c r="G7" s="101" t="n">
        <x:v>0.9689552790994145</x:v>
      </x:c>
      <x:c r="H7" s="101" t="n">
        <x:v>2.4659757621450167</x:v>
      </x:c>
      <x:c r="I7" s="101" t="n">
        <x:v>4.496326426557794</x:v>
      </x:c>
      <x:c r="J7" s="101" t="n">
        <x:v>1.0931585744772139</x:v>
      </x:c>
      <x:c r="K7" s="101" t="n">
        <x:v>2.237785606603919</x:v>
      </x:c>
      <x:c r="L7" s="101" t="n">
        <x:v>4.3858179517121</x:v>
      </x:c>
      <x:c r="M7" s="101" t="n">
        <x:v>1.2722769284593405</x:v>
      </x:c>
      <x:c r="N7" s="101" t="n">
        <x:v>3.2726812476756404</x:v>
      </x:c>
      <x:c r="O7" s="101" t="n">
        <x:v>6.35551464368883</x:v>
      </x:c>
    </x:row>
    <x:row r="8" ht="86.0999984741211" customHeight="1">
      <x:c r="A8" s="105" t="str">
        <x:v>Relative change from baseline</x:v>
      </x:c>
      <x:c r="B8" s="105"/>
      <x:c r="C8" s="105"/>
      <x:c r="D8" s="106" t="n">
        <x:v>0.18282238862182312</x:v>
      </x:c>
      <x:c r="E8" s="106" t="n">
        <x:v>1.3483574415278323</x:v>
      </x:c>
      <x:c r="F8" s="106" t="n">
        <x:v>0.5543938657118147</x:v>
      </x:c>
      <x:c r="G8" s="106" t="n">
        <x:v>1.8190767239749837</x:v>
      </x:c>
      <x:c r="H8" s="106" t="n">
        <x:v>1.9033791179161057</x:v>
      </x:c>
      <x:c r="I8" s="106" t="n">
        <x:v>0.5466497368290386</x:v>
      </x:c>
      <x:c r="J8" s="106" t="n">
        <x:v>2.180433565299979</x:v>
      </x:c>
      <x:c r="K8" s="106" t="n">
        <x:v>1.6347136497949755</x:v>
      </x:c>
      <x:c r="L8" s="106" t="n">
        <x:v>0.508636948760998</x:v>
      </x:c>
      <x:c r="M8" s="106" t="n">
        <x:v>2.7015601780958183</x:v>
      </x:c>
      <x:c r="N8" s="106" t="n">
        <x:v>2.8531742849864665</x:v>
      </x:c>
      <x:c r="O8" s="106" t="n">
        <x:v>1.1861746943047666</x:v>
      </x:c>
    </x:row>
    <x:row r="9" ht="15.949999809265137">
      <x:c r="A9" s="15"/>
      <x:c r="B9" s="15"/>
      <x:c r="C9" s="16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</x:row>
    <x:row r="10" ht="15.949999809265137">
      <x:c r="A10" s="39" t="s">
        <x:v>43</x:v>
      </x:c>
      <x:c r="B10" s="39"/>
      <x:c r="D10" s="40" t="s">
        <x:v>44</x:v>
      </x:c>
      <x:c r="E10" s="41"/>
      <x:c r="F10" s="41"/>
      <x:c r="G10" s="41"/>
      <x:c r="H10" s="41"/>
      <x:c r="I10" s="41"/>
      <x:c r="J10" s="42"/>
      <x:c r="K10" s="4"/>
    </x:row>
    <x:row r="11" ht="104.44999694824219" customHeight="1">
      <x:c r="A11" s="22" t="s">
        <x:v>36</x:v>
      </x:c>
      <x:c r="B11" s="21" t="s">
        <x:v>45</x:v>
      </x:c>
      <x:c r="D11" s="30" t="s">
        <x:v>36</x:v>
      </x:c>
      <x:c r="E11" s="32" t="s">
        <x:v>46</x:v>
      </x:c>
      <x:c r="F11" s="32"/>
      <x:c r="G11" s="32"/>
      <x:c r="H11" s="32"/>
      <x:c r="I11" s="32"/>
      <x:c r="J11" s="33"/>
      <x:c r="K11" s="4"/>
    </x:row>
    <x:row r="12" ht="15.949999809265137" customHeight="1">
      <x:c r="A12" s="6">
        <x:v>1990</x:v>
      </x:c>
      <x:c r="B12" s="98" t="n">
        <x:v>1.0476384938254664</x:v>
      </x:c>
      <x:c r="D12" s="30"/>
      <x:c r="E12" s="34" t="s">
        <x:v>39</x:v>
      </x:c>
      <x:c r="F12" s="34"/>
      <x:c r="G12" s="34"/>
      <x:c r="H12" s="35" t="s">
        <x:v>40</x:v>
      </x:c>
      <x:c r="I12" s="35"/>
      <x:c r="J12" s="36"/>
      <x:c r="K12" s="4"/>
    </x:row>
    <x:row r="13" ht="32.099998474121094">
      <x:c r="A13" s="6">
        <x:v>1991</x:v>
      </x:c>
      <x:c r="B13" s="98" t="n">
        <x:v>0.9138262311044648</x:v>
      </x:c>
      <x:c r="D13" s="31"/>
      <x:c r="E13" s="18" t="s">
        <x:v>29</x:v>
      </x:c>
      <x:c r="F13" s="18" t="s">
        <x:v>30</x:v>
      </x:c>
      <x:c r="G13" s="18" t="s">
        <x:v>31</x:v>
      </x:c>
      <x:c r="H13" s="19" t="s">
        <x:v>29</x:v>
      </x:c>
      <x:c r="I13" s="19" t="s">
        <x:v>30</x:v>
      </x:c>
      <x:c r="J13" s="20" t="s">
        <x:v>31</x:v>
      </x:c>
      <x:c r="K13" s="4"/>
    </x:row>
    <x:row r="14" ht="15.949999809265137">
      <x:c r="A14" s="6">
        <x:v>1992</x:v>
      </x:c>
      <x:c r="B14" s="98" t="n">
        <x:v>0.09527698765092416</x:v>
      </x:c>
      <x:c r="D14" s="6">
        <x:v>2040</x:v>
      </x:c>
      <x:c r="E14" s="98" t="n">
        <x:v>0.03178507560631784</x:v>
      </x:c>
      <x:c r="F14" s="98" t="n">
        <x:v>1.7205649862687122</x:v>
      </x:c>
      <x:c r="G14" s="98" t="n">
        <x:v>4.047446168545557</x:v>
      </x:c>
      <x:c r="H14" s="98" t="n">
        <x:v>0</x:v>
      </x:c>
      <x:c r="I14" s="98" t="n">
        <x:v>1.0644820256695162</x:v>
      </x:c>
      <x:c r="J14" s="98" t="n">
        <x:v>9.729980801072212</x:v>
      </x:c>
      <x:c r="K14" s="4"/>
    </x:row>
    <x:row r="15" ht="15.949999809265137">
      <x:c r="A15" s="6">
        <x:v>1993</x:v>
      </x:c>
      <x:c r="B15" s="98" t="n">
        <x:v>1.1227487003426608</x:v>
      </x:c>
      <x:c r="D15" s="6">
        <x:v>2041</x:v>
      </x:c>
      <x:c r="E15" s="98" t="n">
        <x:v>0</x:v>
      </x:c>
      <x:c r="F15" s="98" t="n">
        <x:v>0.11459475105865433</x:v>
      </x:c>
      <x:c r="G15" s="98" t="n">
        <x:v>3.6193071898195797</x:v>
      </x:c>
      <x:c r="H15" s="98" t="n">
        <x:v>0.13819720636599162</x:v>
      </x:c>
      <x:c r="I15" s="98" t="n">
        <x:v>1.0248524041258529</x:v>
      </x:c>
      <x:c r="J15" s="98" t="n">
        <x:v>4.173018276393612</x:v>
      </x:c>
      <x:c r="K15" s="4"/>
    </x:row>
    <x:row r="16" ht="15.949999809265137">
      <x:c r="A16" s="6">
        <x:v>1994</x:v>
      </x:c>
      <x:c r="B16" s="98" t="n">
        <x:v>0.8656834628256873</x:v>
      </x:c>
      <x:c r="D16" s="6">
        <x:v>2042</x:v>
      </x:c>
      <x:c r="E16" s="98" t="n">
        <x:v>0</x:v>
      </x:c>
      <x:c r="F16" s="98" t="n">
        <x:v>0.7729167390127973</x:v>
      </x:c>
      <x:c r="G16" s="98" t="n">
        <x:v>6.669202546873067</x:v>
      </x:c>
      <x:c r="H16" s="98" t="n">
        <x:v>0</x:v>
      </x:c>
      <x:c r="I16" s="98" t="n">
        <x:v>1.5579562203813024</x:v>
      </x:c>
      <x:c r="J16" s="98" t="n">
        <x:v>4.886127085187702</x:v>
      </x:c>
      <x:c r="K16" s="4"/>
    </x:row>
    <x:row r="17" ht="15.949999809265137">
      <x:c r="A17" s="6">
        <x:v>1995</x:v>
      </x:c>
      <x:c r="B17" s="98" t="n">
        <x:v>0.24455691460381965</x:v>
      </x:c>
      <x:c r="D17" s="6">
        <x:v>2043</x:v>
      </x:c>
      <x:c r="E17" s="98" t="n">
        <x:v>0.03178507560631784</x:v>
      </x:c>
      <x:c r="F17" s="98" t="n">
        <x:v>1.5114034627796045</x:v>
      </x:c>
      <x:c r="G17" s="98" t="n">
        <x:v>2.9436790423874792</x:v>
      </x:c>
      <x:c r="H17" s="98" t="n">
        <x:v>0.7719929215919384</x:v>
      </x:c>
      <x:c r="I17" s="98" t="n">
        <x:v>2.047451192140193</x:v>
      </x:c>
      <x:c r="J17" s="98" t="n">
        <x:v>4.787897667047355</x:v>
      </x:c>
      <x:c r="K17" s="4"/>
    </x:row>
    <x:row r="18" ht="15.949999809265137">
      <x:c r="A18" s="6">
        <x:v>1996</x:v>
      </x:c>
      <x:c r="B18" s="98" t="n">
        <x:v>0.7142925342939888</x:v>
      </x:c>
      <x:c r="D18" s="6">
        <x:v>2044</x:v>
      </x:c>
      <x:c r="E18" s="98" t="n">
        <x:v>0</x:v>
      </x:c>
      <x:c r="F18" s="98" t="n">
        <x:v>1.0494520965340202</x:v>
      </x:c>
      <x:c r="G18" s="98" t="n">
        <x:v>4.1608229027996435</x:v>
      </x:c>
      <x:c r="H18" s="98" t="n">
        <x:v>0</x:v>
      </x:c>
      <x:c r="I18" s="98" t="n">
        <x:v>1.8565033845517396</x:v>
      </x:c>
      <x:c r="J18" s="98" t="n">
        <x:v>7.718053928269697</x:v>
      </x:c>
      <x:c r="K18" s="4"/>
    </x:row>
    <x:row r="19" ht="15.949999809265137">
      <x:c r="A19" s="6">
        <x:v>1997</x:v>
      </x:c>
      <x:c r="B19" s="98" t="n">
        <x:v>0</x:v>
      </x:c>
      <x:c r="D19" s="6">
        <x:v>2045</x:v>
      </x:c>
      <x:c r="E19" s="98" t="n">
        <x:v>0.20328365337798132</x:v>
      </x:c>
      <x:c r="F19" s="98" t="n">
        <x:v>3.26767133668924</x:v>
      </x:c>
      <x:c r="G19" s="98" t="n">
        <x:v>9.678382053378897</x:v>
      </x:c>
      <x:c r="H19" s="98" t="n">
        <x:v>0.1738807865948531</x:v>
      </x:c>
      <x:c r="I19" s="98" t="n">
        <x:v>1.4970270790081415</x:v>
      </x:c>
      <x:c r="J19" s="98" t="n">
        <x:v>2.9954671827052994</x:v>
      </x:c>
      <x:c r="K19" s="4"/>
    </x:row>
    <x:row r="20" ht="15.949999809265137">
      <x:c r="A20" s="6">
        <x:v>1998</x:v>
      </x:c>
      <x:c r="B20" s="98" t="n">
        <x:v>0.5502397529540946</x:v>
      </x:c>
      <x:c r="D20" s="6">
        <x:v>2046</x:v>
      </x:c>
      <x:c r="E20" s="98" t="n">
        <x:v>0.2385174025585624</x:v>
      </x:c>
      <x:c r="F20" s="98" t="n">
        <x:v>1.7810654395768268</x:v>
      </x:c>
      <x:c r="G20" s="98" t="n">
        <x:v>4.4217374472583</x:v>
      </x:c>
      <x:c r="H20" s="98" t="n">
        <x:v>0</x:v>
      </x:c>
      <x:c r="I20" s="98" t="n">
        <x:v>0.5970474760642375</x:v>
      </x:c>
      <x:c r="J20" s="98" t="n">
        <x:v>5.161423247573413</x:v>
      </x:c>
      <x:c r="K20" s="4"/>
    </x:row>
    <x:row r="21" ht="15.949999809265137">
      <x:c r="A21" s="6">
        <x:v>1999</x:v>
      </x:c>
      <x:c r="B21" s="98" t="n">
        <x:v>0.04763849382546208</x:v>
      </x:c>
      <x:c r="D21" s="6">
        <x:v>2047</x:v>
      </x:c>
      <x:c r="E21" s="98" t="n">
        <x:v>0</x:v>
      </x:c>
      <x:c r="F21" s="98" t="n">
        <x:v>1.9678923035738318</x:v>
      </x:c>
      <x:c r="G21" s="98" t="n">
        <x:v>4.677000520345578</x:v>
      </x:c>
      <x:c r="H21" s="98" t="n">
        <x:v>0</x:v>
      </x:c>
      <x:c r="I21" s="98" t="n">
        <x:v>1.1899614998248533</x:v>
      </x:c>
      <x:c r="J21" s="98" t="n">
        <x:v>4.37075743690537</x:v>
      </x:c>
      <x:c r="K21" s="4"/>
    </x:row>
    <x:row r="22" ht="15.949999809265137">
      <x:c r="A22" s="6">
        <x:v>2000</x:v>
      </x:c>
      <x:c r="B22" s="98" t="n">
        <x:v>0.04011076671194195</x:v>
      </x:c>
      <x:c r="D22" s="6">
        <x:v>2048</x:v>
      </x:c>
      <x:c r="E22" s="98" t="n">
        <x:v>0</x:v>
      </x:c>
      <x:c r="F22" s="98" t="n">
        <x:v>1.2569321282006443</x:v>
      </x:c>
      <x:c r="G22" s="98" t="n">
        <x:v>5.761021087496833</x:v>
      </x:c>
      <x:c r="H22" s="98" t="n">
        <x:v>0</x:v>
      </x:c>
      <x:c r="I22" s="98" t="n">
        <x:v>2.1871016037598032</x:v>
      </x:c>
      <x:c r="J22" s="98" t="n">
        <x:v>4.767121075595602</x:v>
      </x:c>
      <x:c r="K22" s="4"/>
    </x:row>
    <x:row r="23" ht="15.949999809265137">
      <x:c r="A23" s="6">
        <x:v>2001</x:v>
      </x:c>
      <x:c r="B23" s="98" t="n">
        <x:v>1.113630043561908</x:v>
      </x:c>
      <x:c r="D23" s="6">
        <x:v>2049</x:v>
      </x:c>
      <x:c r="E23" s="98" t="n">
        <x:v>0</x:v>
      </x:c>
      <x:c r="F23" s="98" t="n">
        <x:v>1.4556023028945981</x:v>
      </x:c>
      <x:c r="G23" s="98" t="n">
        <x:v>5.123745819922639</x:v>
      </x:c>
      <x:c r="H23" s="98" t="n">
        <x:v>0</x:v>
      </x:c>
      <x:c r="I23" s="98" t="n">
        <x:v>1.219495282730569</x:v>
      </x:c>
      <x:c r="J23" s="98" t="n">
        <x:v>4.108365475358036</x:v>
      </x:c>
      <x:c r="K23" s="4"/>
    </x:row>
    <x:row r="24" ht="15.949999809265137">
      <x:c r="A24" s="6">
        <x:v>2002</x:v>
      </x:c>
      <x:c r="B24" s="98" t="n">
        <x:v>0.72991443684497</x:v>
      </x:c>
      <x:c r="D24" s="6">
        <x:v>2050</x:v>
      </x:c>
      <x:c r="E24" s="98" t="n">
        <x:v>0</x:v>
      </x:c>
      <x:c r="F24" s="98" t="n">
        <x:v>1.597198476157799</x:v>
      </x:c>
      <x:c r="G24" s="98" t="n">
        <x:v>4.730005180381533</x:v>
      </x:c>
      <x:c r="H24" s="98" t="n">
        <x:v>0.2561814019064215</x:v>
      </x:c>
      <x:c r="I24" s="98" t="n">
        <x:v>3.358579523012146</x:v>
      </x:c>
      <x:c r="J24" s="98" t="n">
        <x:v>4.897125162230382</x:v>
      </x:c>
      <x:c r="K24" s="4"/>
    </x:row>
    <x:row r="25" ht="15.949999809265137">
      <x:c r="A25" s="6">
        <x:v>2003</x:v>
      </x:c>
      <x:c r="B25" s="98" t="n">
        <x:v>0.9275614835946345</x:v>
      </x:c>
      <x:c r="D25" s="6">
        <x:v>2051</x:v>
      </x:c>
      <x:c r="E25" s="98" t="n">
        <x:v>0</x:v>
      </x:c>
      <x:c r="F25" s="98" t="n">
        <x:v>0.4302828518359687</x:v>
      </x:c>
      <x:c r="G25" s="98" t="n">
        <x:v>8.488797242020384</x:v>
      </x:c>
      <x:c r="H25" s="98" t="n">
        <x:v>0</x:v>
      </x:c>
      <x:c r="I25" s="98" t="n">
        <x:v>0.7734783378532504</x:v>
      </x:c>
      <x:c r="J25" s="98" t="n">
        <x:v>11.874225684240422</x:v>
      </x:c>
      <x:c r="K25" s="4"/>
    </x:row>
    <x:row r="26" ht="15.949999809265137">
      <x:c r="A26" s="6">
        <x:v>2004</x:v>
      </x:c>
      <x:c r="B26" s="98" t="n">
        <x:v>1.5111167906199743</x:v>
      </x:c>
      <x:c r="D26" s="6">
        <x:v>2052</x:v>
      </x:c>
      <x:c r="E26" s="98" t="n">
        <x:v>0</x:v>
      </x:c>
      <x:c r="F26" s="98" t="n">
        <x:v>3.150190140886358</x:v>
      </x:c>
      <x:c r="G26" s="98" t="n">
        <x:v>5.289075694460757</x:v>
      </x:c>
      <x:c r="H26" s="98" t="n">
        <x:v>0.9330380802009963</x:v>
      </x:c>
      <x:c r="I26" s="98" t="n">
        <x:v>3.0313704674090105</x:v>
      </x:c>
      <x:c r="J26" s="98" t="n">
        <x:v>5.567427933846499</x:v>
      </x:c>
      <x:c r="K26" s="4"/>
    </x:row>
    <x:row r="27" ht="15.949999809265137">
      <x:c r="A27" s="6">
        <x:v>2005</x:v>
      </x:c>
      <x:c r="B27" s="98" t="n">
        <x:v>1.4043019625421085</x:v>
      </x:c>
      <x:c r="D27" s="6">
        <x:v>2053</x:v>
      </x:c>
      <x:c r="E27" s="98" t="n">
        <x:v>0</x:v>
      </x:c>
      <x:c r="F27" s="98" t="n">
        <x:v>1.0576703600666433</x:v>
      </x:c>
      <x:c r="G27" s="98" t="n">
        <x:v>4.41802469512815</x:v>
      </x:c>
      <x:c r="H27" s="98" t="n">
        <x:v>0.034106768543430525</x:v>
      </x:c>
      <x:c r="I27" s="98" t="n">
        <x:v>5.098730851926941</x:v>
      </x:c>
      <x:c r="J27" s="98" t="n">
        <x:v>8.989000471553414</x:v>
      </x:c>
      <x:c r="K27" s="4"/>
    </x:row>
    <x:row r="28" ht="15.949999809265137">
      <x:c r="A28" s="6">
        <x:v>2006</x:v>
      </x:c>
      <x:c r="B28" s="98" t="n">
        <x:v>0.094684507233661</x:v>
      </x:c>
      <x:c r="D28" s="6">
        <x:v>2054</x:v>
      </x:c>
      <x:c r="E28" s="98" t="n">
        <x:v>0.08574928888583175</x:v>
      </x:c>
      <x:c r="F28" s="98" t="n">
        <x:v>0.9343931475849849</x:v>
      </x:c>
      <x:c r="G28" s="98" t="n">
        <x:v>7.434760270518339</x:v>
      </x:c>
      <x:c r="H28" s="98" t="n">
        <x:v>0</x:v>
      </x:c>
      <x:c r="I28" s="98" t="n">
        <x:v>0.7531994620560352</x:v>
      </x:c>
      <x:c r="J28" s="98" t="n">
        <x:v>3.2170731585861443</x:v>
      </x:c>
      <x:c r="K28" s="4"/>
    </x:row>
    <x:row r="29" ht="15.949999809265137">
      <x:c r="A29" s="6">
        <x:v>2007</x:v>
      </x:c>
      <x:c r="B29" s="98" t="n">
        <x:v>1.2370075181733164</x:v>
      </x:c>
      <x:c r="D29" s="6">
        <x:v>2055</x:v>
      </x:c>
      <x:c r="E29" s="98" t="n">
        <x:v>0</x:v>
      </x:c>
      <x:c r="F29" s="98" t="n">
        <x:v>0.6449053673212585</x:v>
      </x:c>
      <x:c r="G29" s="98" t="n">
        <x:v>4.041918256535861</x:v>
      </x:c>
      <x:c r="H29" s="98" t="n">
        <x:v>0</x:v>
      </x:c>
      <x:c r="I29" s="98" t="n">
        <x:v>1.363732008983853</x:v>
      </x:c>
      <x:c r="J29" s="98" t="n">
        <x:v>9.69402334802017</x:v>
      </x:c>
      <x:c r="K29" s="4"/>
    </x:row>
    <x:row r="30" ht="15.949999809265137">
      <x:c r="A30" s="6">
        <x:v>2008</x:v>
      </x:c>
      <x:c r="B30" s="98" t="n">
        <x:v>0.06529686916230532</x:v>
      </x:c>
      <x:c r="D30" s="6">
        <x:v>2056</x:v>
      </x:c>
      <x:c r="E30" s="98" t="n">
        <x:v>0</x:v>
      </x:c>
      <x:c r="F30" s="98" t="n">
        <x:v>1.8278695802265803</x:v>
      </x:c>
      <x:c r="G30" s="98" t="n">
        <x:v>6.105635112920638</x:v>
      </x:c>
      <x:c r="H30" s="98" t="n">
        <x:v>0.20568161253113246</x:v>
      </x:c>
      <x:c r="I30" s="98" t="n">
        <x:v>2.764247445818997</x:v>
      </x:c>
      <x:c r="J30" s="98" t="n">
        <x:v>7.621641652550656</x:v>
      </x:c>
      <x:c r="K30" s="4"/>
    </x:row>
    <x:row r="31" ht="15.949999809265137">
      <x:c r="A31" s="6">
        <x:v>2009</x:v>
      </x:c>
      <x:c r="B31" s="98" t="n">
        <x:v>0.6588909184433931</x:v>
      </x:c>
      <x:c r="D31" s="6">
        <x:v>2057</x:v>
      </x:c>
      <x:c r="E31" s="98" t="n">
        <x:v>0</x:v>
      </x:c>
      <x:c r="F31" s="98" t="n">
        <x:v>1.367599391598402</x:v>
      </x:c>
      <x:c r="G31" s="98" t="n">
        <x:v>5.048274892890482</x:v>
      </x:c>
      <x:c r="H31" s="98" t="n">
        <x:v>0</x:v>
      </x:c>
      <x:c r="I31" s="98" t="n">
        <x:v>0.7925601128302728</x:v>
      </x:c>
      <x:c r="J31" s="98" t="n">
        <x:v>4.811517030985172</x:v>
      </x:c>
      <x:c r="K31" s="4"/>
    </x:row>
    <x:row r="32" ht="15.949999809265137">
      <x:c r="A32" s="24"/>
      <x:c r="B32" s="4"/>
      <x:c r="D32" s="6">
        <x:v>2058</x:v>
      </x:c>
      <x:c r="E32" s="98" t="n">
        <x:v>0.08574928888583175</x:v>
      </x:c>
      <x:c r="F32" s="98" t="n">
        <x:v>0.39890481500863767</x:v>
      </x:c>
      <x:c r="G32" s="98" t="n">
        <x:v>3.312816141605044</x:v>
      </x:c>
      <x:c r="H32" s="98" t="n">
        <x:v>0</x:v>
      </x:c>
      <x:c r="I32" s="98" t="n">
        <x:v>1.9783476090889545</x:v>
      </x:c>
      <x:c r="J32" s="98" t="n">
        <x:v>5.599285182612893</x:v>
      </x:c>
      <x:c r="K32" s="4"/>
    </x:row>
    <x:row r="33" ht="15.949999809265137">
      <x:c r="A33" s="24"/>
      <x:c r="B33" s="4"/>
      <x:c r="D33" s="6">
        <x:v>2059</x:v>
      </x:c>
      <x:c r="E33" s="98" t="n">
        <x:v>0.08574928888583175</x:v>
      </x:c>
      <x:c r="F33" s="98" t="n">
        <x:v>5.15007124762562</x:v>
      </x:c>
      <x:c r="G33" s="98" t="n">
        <x:v>8.726773179958556</x:v>
      </x:c>
      <x:c r="H33" s="98" t="n">
        <x:v>0</x:v>
      </x:c>
      <x:c r="I33" s="98" t="n">
        <x:v>1.5612038686117125</x:v>
      </x:c>
      <x:c r="J33" s="98" t="n">
        <x:v>4.7359470291352865</x:v>
      </x:c>
      <x:c r="K33" s="4"/>
    </x:row>
    <x:row r="34" ht="15.949999809265137">
      <x:c r="A34" s="24"/>
      <x:c r="B34" s="4"/>
      <x:c r="D34" s="6">
        <x:v>2060</x:v>
      </x:c>
      <x:c r="E34" s="98" t="n">
        <x:v>0</x:v>
      </x:c>
      <x:c r="F34" s="98" t="n">
        <x:v>1.5874165953128712</x:v>
      </x:c>
      <x:c r="G34" s="98" t="n">
        <x:v>6.857168872686121</x:v>
      </x:c>
      <x:c r="H34" s="98" t="n">
        <x:v>0</x:v>
      </x:c>
      <x:c r="I34" s="98" t="n">
        <x:v>2.269416384239931</x:v>
      </x:c>
      <x:c r="J34" s="98" t="n">
        <x:v>6.838537790954568</x:v>
      </x:c>
      <x:c r="K34" s="4"/>
    </x:row>
    <x:row r="35" ht="15.949999809265137">
      <x:c r="A35" s="24"/>
      <x:c r="B35" s="4"/>
      <x:c r="D35" s="6">
        <x:v>2061</x:v>
      </x:c>
      <x:c r="E35" s="98" t="n">
        <x:v>0.812293996290548</x:v>
      </x:c>
      <x:c r="F35" s="98" t="n">
        <x:v>1.9514131148381932</x:v>
      </x:c>
      <x:c r="G35" s="98" t="n">
        <x:v>4.383776086352437</x:v>
      </x:c>
      <x:c r="H35" s="98" t="n">
        <x:v>0.28878164998472555</x:v>
      </x:c>
      <x:c r="I35" s="98" t="n">
        <x:v>4.73564057844156</x:v>
      </x:c>
      <x:c r="J35" s="98" t="n">
        <x:v>10.144997109980409</x:v>
      </x:c>
      <x:c r="K35" s="4"/>
    </x:row>
    <x:row r="36" ht="15.949999809265137">
      <x:c r="A36" s="24"/>
      <x:c r="B36" s="4"/>
      <x:c r="D36" s="6">
        <x:v>2062</x:v>
      </x:c>
      <x:c r="E36" s="98" t="n">
        <x:v>0.08574928888583175</x:v>
      </x:c>
      <x:c r="F36" s="98" t="n">
        <x:v>0.7943650541084151</x:v>
      </x:c>
      <x:c r="G36" s="98" t="n">
        <x:v>6.103318490519443</x:v>
      </x:c>
      <x:c r="H36" s="98" t="n">
        <x:v>0</x:v>
      </x:c>
      <x:c r="I36" s="98" t="n">
        <x:v>1.592261506198368</x:v>
      </x:c>
      <x:c r="J36" s="98" t="n">
        <x:v>8.038142753054393</x:v>
      </x:c>
      <x:c r="K36" s="4"/>
    </x:row>
    <x:row r="37" ht="15.949999809265137">
      <x:c r="A37" s="24"/>
      <x:c r="B37" s="4"/>
      <x:c r="D37" s="6">
        <x:v>2063</x:v>
      </x:c>
      <x:c r="E37" s="98" t="n">
        <x:v>0.1714985777716635</x:v>
      </x:c>
      <x:c r="F37" s="98" t="n">
        <x:v>0.9466752078412186</x:v>
      </x:c>
      <x:c r="G37" s="98" t="n">
        <x:v>4.437080172723863</x:v>
      </x:c>
      <x:c r="H37" s="98" t="n">
        <x:v>0</x:v>
      </x:c>
      <x:c r="I37" s="98" t="n">
        <x:v>3.525554577982963</x:v>
      </x:c>
      <x:c r="J37" s="98" t="n">
        <x:v>8.158445436854143</x:v>
      </x:c>
      <x:c r="K37" s="4"/>
    </x:row>
    <x:row r="38" ht="15.949999809265137">
      <x:c r="A38" s="24"/>
      <x:c r="B38" s="4"/>
      <x:c r="D38" s="6">
        <x:v>2064</x:v>
      </x:c>
      <x:c r="E38" s="98" t="n">
        <x:v>0</x:v>
      </x:c>
      <x:c r="F38" s="98" t="n">
        <x:v>1.0476384938254664</x:v>
      </x:c>
      <x:c r="G38" s="98" t="n">
        <x:v>4.460178828765836</x:v>
      </x:c>
      <x:c r="H38" s="98" t="n">
        <x:v>0.8061031887944677</x:v>
      </x:c>
      <x:c r="I38" s="98" t="n">
        <x:v>1.581613746556119</x:v>
      </x:c>
      <x:c r="J38" s="98" t="n">
        <x:v>4.322590717510875</x:v>
      </x:c>
      <x:c r="K38" s="4"/>
    </x:row>
    <x:row r="39" ht="15.949999809265137">
      <x:c r="A39" s="24"/>
      <x:c r="B39" s="4"/>
      <x:c r="D39" s="6">
        <x:v>2065</x:v>
      </x:c>
      <x:c r="E39" s="98" t="n">
        <x:v>0.1704321130205898</x:v>
      </x:c>
      <x:c r="F39" s="98" t="n">
        <x:v>1.237720452201264</x:v>
      </x:c>
      <x:c r="G39" s="98" t="n">
        <x:v>10.652654739162031</x:v>
      </x:c>
      <x:c r="H39" s="98" t="n">
        <x:v>0.1704321130205898</x:v>
      </x:c>
      <x:c r="I39" s="98" t="n">
        <x:v>2.2185066452220163</x:v>
      </x:c>
      <x:c r="J39" s="98" t="n">
        <x:v>7.697706818386707</x:v>
      </x:c>
      <x:c r="K39" s="4"/>
    </x:row>
    <x:row r="40" ht="15.949999809265137">
      <x:c r="A40" s="24"/>
      <x:c r="B40" s="4"/>
      <x:c r="D40" s="6">
        <x:v>2066</x:v>
      </x:c>
      <x:c r="E40" s="98" t="n">
        <x:v>0</x:v>
      </x:c>
      <x:c r="F40" s="98" t="n">
        <x:v>1.4369991187688553</x:v>
      </x:c>
      <x:c r="G40" s="98" t="n">
        <x:v>6.0427561599206445</x:v>
      </x:c>
      <x:c r="H40" s="98" t="n">
        <x:v>0.13887944076198822</x:v>
      </x:c>
      <x:c r="I40" s="98" t="n">
        <x:v>1.3784823187036082</x:v>
      </x:c>
      <x:c r="J40" s="98" t="n">
        <x:v>4.658817902582598</x:v>
      </x:c>
      <x:c r="K40" s="4"/>
    </x:row>
    <x:row r="41" ht="15.949999809265137">
      <x:c r="A41" s="24"/>
      <x:c r="B41" s="4"/>
      <x:c r="D41" s="6">
        <x:v>2067</x:v>
      </x:c>
      <x:c r="E41" s="98" t="n">
        <x:v>0</x:v>
      </x:c>
      <x:c r="F41" s="98" t="n">
        <x:v>0.3441683985076477</x:v>
      </x:c>
      <x:c r="G41" s="98" t="n">
        <x:v>4.21898843361068</x:v>
      </x:c>
      <x:c r="H41" s="98" t="n">
        <x:v>0.46515988724046675</x:v>
      </x:c>
      <x:c r="I41" s="98" t="n">
        <x:v>3.329545531344438</x:v>
      </x:c>
      <x:c r="J41" s="98" t="n">
        <x:v>6.950577852068834</x:v>
      </x:c>
      <x:c r="K41" s="4"/>
    </x:row>
    <x:row r="42" ht="15.949999809265137">
      <x:c r="A42" s="24"/>
      <x:c r="B42" s="4"/>
      <x:c r="D42" s="6">
        <x:v>2068</x:v>
      </x:c>
      <x:c r="E42" s="98" t="n">
        <x:v>0</x:v>
      </x:c>
      <x:c r="F42" s="98" t="n">
        <x:v>0.5899954409857837</x:v>
      </x:c>
      <x:c r="G42" s="98" t="n">
        <x:v>1.5699550509407336</x:v>
      </x:c>
      <x:c r="H42" s="98" t="n">
        <x:v>0</x:v>
      </x:c>
      <x:c r="I42" s="98" t="n">
        <x:v>0.8930828247199251</x:v>
      </x:c>
      <x:c r="J42" s="98" t="n">
        <x:v>3.9324598101629453</x:v>
      </x:c>
      <x:c r="K42" s="4"/>
    </x:row>
    <x:row r="43" ht="15.949999809265137">
      <x:c r="A43" s="24"/>
      <x:c r="B43" s="4"/>
      <x:c r="D43" s="6">
        <x:v>2069</x:v>
      </x:c>
      <x:c r="E43" s="98" t="n">
        <x:v>0</x:v>
      </x:c>
      <x:c r="F43" s="98" t="n">
        <x:v>2.593539138256256</x:v>
      </x:c>
      <x:c r="G43" s="98" t="n">
        <x:v>5.023971697856233</x:v>
      </x:c>
      <x:c r="H43" s="98" t="n">
        <x:v>0.2682941753549167</x:v>
      </x:c>
      <x:c r="I43" s="98" t="n">
        <x:v>2.40460460017065</x:v>
      </x:c>
      <x:c r="J43" s="98" t="n">
        <x:v>5.6964238454163825</x:v>
      </x:c>
      <x:c r="K43" s="4"/>
    </x:row>
    <x:row r="44" ht="15.949999809265137">
      <x:c r="A44" s="24"/>
      <x:c r="B44" s="4"/>
      <x:c r="D44" s="6">
        <x:v>2070</x:v>
      </x:c>
      <x:c r="E44" s="98" t="n">
        <x:v>0</x:v>
      </x:c>
      <x:c r="F44" s="98" t="n">
        <x:v>1.371802413362627</x:v>
      </x:c>
      <x:c r="G44" s="98" t="n">
        <x:v>7.043756350996398</x:v>
      </x:c>
      <x:c r="H44" s="98" t="n">
        <x:v>0.2184221057464353</x:v>
      </x:c>
      <x:c r="I44" s="98" t="n">
        <x:v>1.2450759497704502</x:v>
      </x:c>
      <x:c r="J44" s="98" t="n">
        <x:v>5.963957722298697</x:v>
      </x:c>
      <x:c r="K44" s="4"/>
    </x:row>
    <x:row r="45" ht="15.949999809265137">
      <x:c r="A45" s="24"/>
      <x:c r="B45" s="4"/>
      <x:c r="D45" s="6">
        <x:v>2071</x:v>
      </x:c>
      <x:c r="E45" s="98" t="n">
        <x:v>0</x:v>
      </x:c>
      <x:c r="F45" s="98" t="n">
        <x:v>1.5176583893450961</x:v>
      </x:c>
      <x:c r="G45" s="98" t="n">
        <x:v>3.294660667978162</x:v>
      </x:c>
      <x:c r="H45" s="98" t="n">
        <x:v>0</x:v>
      </x:c>
      <x:c r="I45" s="98" t="n">
        <x:v>1.5266690635913025</x:v>
      </x:c>
      <x:c r="J45" s="98" t="n">
        <x:v>5.193387077436349</x:v>
      </x:c>
      <x:c r="K45" s="4"/>
    </x:row>
    <x:row r="46" ht="15.949999809265137">
      <x:c r="A46" s="24"/>
      <x:c r="B46" s="4"/>
      <x:c r="D46" s="6">
        <x:v>2072</x:v>
      </x:c>
      <x:c r="E46" s="98" t="n">
        <x:v>0.08574928888583175</x:v>
      </x:c>
      <x:c r="F46" s="98" t="n">
        <x:v>1.0378316621832961</x:v>
      </x:c>
      <x:c r="G46" s="98" t="n">
        <x:v>3.982979278078722</x:v>
      </x:c>
      <x:c r="H46" s="98" t="n">
        <x:v>0.9960745599254954</x:v>
      </x:c>
      <x:c r="I46" s="98" t="n">
        <x:v>2.840642363667442</x:v>
      </x:c>
      <x:c r="J46" s="98" t="n">
        <x:v>9.0783125506747</x:v>
      </x:c>
      <x:c r="K46" s="4"/>
    </x:row>
    <x:row r="47" ht="15.949999809265137">
      <x:c r="A47" s="24"/>
      <x:c r="B47" s="4"/>
      <x:c r="D47" s="6">
        <x:v>2073</x:v>
      </x:c>
      <x:c r="E47" s="98" t="n">
        <x:v>0.08574928888583175</x:v>
      </x:c>
      <x:c r="F47" s="98" t="n">
        <x:v>0.9993199500716596</x:v>
      </x:c>
      <x:c r="G47" s="98" t="n">
        <x:v>4.011341332658598</x:v>
      </x:c>
      <x:c r="H47" s="98" t="n">
        <x:v>0.237455707187426</x:v>
      </x:c>
      <x:c r="I47" s="98" t="n">
        <x:v>1.998332478127372</x:v>
      </x:c>
      <x:c r="J47" s="98" t="n">
        <x:v>7.7707718285385905</x:v>
      </x:c>
      <x:c r="K47" s="4"/>
    </x:row>
    <x:row r="48" ht="15.949999809265137">
      <x:c r="D48" s="6">
        <x:v>2074</x:v>
      </x:c>
      <x:c r="E48" s="98" t="n">
        <x:v>0</x:v>
      </x:c>
      <x:c r="F48" s="98" t="n">
        <x:v>1.0660931237688445</x:v>
      </x:c>
      <x:c r="G48" s="98" t="n">
        <x:v>4.3219133094070905</x:v>
      </x:c>
      <x:c r="H48" s="98" t="n">
        <x:v>0.21385975755762598</x:v>
      </x:c>
      <x:c r="I48" s="98" t="n">
        <x:v>1.1309347065571123</x:v>
      </x:c>
      <x:c r="J48" s="98" t="n">
        <x:v>5.063025897884982</x:v>
      </x:c>
      <x:c r="K48" s="4"/>
    </x:row>
    <x:row r="49" ht="15.949999809265137">
      <x:c r="D49" s="6">
        <x:v>2075</x:v>
      </x:c>
      <x:c r="E49" s="98" t="n">
        <x:v>0</x:v>
      </x:c>
      <x:c r="F49" s="98" t="n">
        <x:v>0.9970632456219611</x:v>
      </x:c>
      <x:c r="G49" s="98" t="n">
        <x:v>3.3290935998941524</x:v>
      </x:c>
      <x:c r="H49" s="98" t="n">
        <x:v>0</x:v>
      </x:c>
      <x:c r="I49" s="98" t="n">
        <x:v>0.33733759315369327</x:v>
      </x:c>
      <x:c r="J49" s="98" t="n">
        <x:v>1.9650977892523822</x:v>
      </x:c>
      <x:c r="K49" s="4"/>
    </x:row>
    <x:row r="50" ht="15.949999809265137">
      <x:c r="D50" s="6">
        <x:v>2076</x:v>
      </x:c>
      <x:c r="E50" s="98" t="n">
        <x:v>0.1704321130205898</x:v>
      </x:c>
      <x:c r="F50" s="98" t="n">
        <x:v>2.9260391661175733</x:v>
      </x:c>
      <x:c r="G50" s="98" t="n">
        <x:v>7.481952053426769</x:v>
      </x:c>
      <x:c r="H50" s="98" t="n">
        <x:v>0</x:v>
      </x:c>
      <x:c r="I50" s="98" t="n">
        <x:v>0.9558463495894847</x:v>
      </x:c>
      <x:c r="J50" s="98" t="n">
        <x:v>8.611719379282862</x:v>
      </x:c>
      <x:c r="K50" s="4"/>
    </x:row>
    <x:row r="51" ht="15.949999809265137">
      <x:c r="D51" s="6">
        <x:v>2077</x:v>
      </x:c>
      <x:c r="E51" s="98" t="n">
        <x:v>1.6121643846894373</x:v>
      </x:c>
      <x:c r="F51" s="98" t="n">
        <x:v>2.3023044013438723</x:v>
      </x:c>
      <x:c r="G51" s="98" t="n">
        <x:v>5.250678511504418</x:v>
      </x:c>
      <x:c r="H51" s="98" t="n">
        <x:v>0.2561814019064215</x:v>
      </x:c>
      <x:c r="I51" s="98" t="n">
        <x:v>0.7855796974517458</x:v>
      </x:c>
      <x:c r="J51" s="98" t="n">
        <x:v>2.6279421195673125</x:v>
      </x:c>
      <x:c r="K51" s="4"/>
    </x:row>
    <x:row r="52" ht="15.949999809265137">
      <x:c r="D52" s="6">
        <x:v>2078</x:v>
      </x:c>
      <x:c r="E52" s="98" t="n">
        <x:v>0.31014562224079667</x:v>
      </x:c>
      <x:c r="F52" s="98" t="n">
        <x:v>1.9604089672529916</x:v>
      </x:c>
      <x:c r="G52" s="98" t="n">
        <x:v>4.488313262075129</x:v>
      </x:c>
      <x:c r="H52" s="98" t="n">
        <x:v>0.03178507560631784</x:v>
      </x:c>
      <x:c r="I52" s="98" t="n">
        <x:v>1.7559948144571909</x:v>
      </x:c>
      <x:c r="J52" s="98" t="n">
        <x:v>6.642234205769223</x:v>
      </x:c>
      <x:c r="K52" s="4"/>
    </x:row>
    <x:row r="53" ht="15.949999809265137">
      <x:c r="D53" s="6">
        <x:v>2079</x:v>
      </x:c>
      <x:c r="E53" s="98" t="n">
        <x:v>0</x:v>
      </x:c>
      <x:c r="F53" s="98" t="n">
        <x:v>1.6053016153271247</x:v>
      </x:c>
      <x:c r="G53" s="98" t="n">
        <x:v>4.864427597799062</x:v>
      </x:c>
      <x:c r="H53" s="98" t="n">
        <x:v>0.265709100671514</x:v>
      </x:c>
      <x:c r="I53" s="98" t="n">
        <x:v>3.762114405196532</x:v>
      </x:c>
      <x:c r="J53" s="98" t="n">
        <x:v>7.551350354102101</x:v>
      </x:c>
      <x:c r="K53" s="4"/>
    </x:row>
    <x:row r="54" ht="15.949999809265137">
      <x:c r="D54" s="6">
        <x:v>2080</x:v>
      </x:c>
      <x:c r="E54" s="98" t="n">
        <x:v>0.2561814019064215</x:v>
      </x:c>
      <x:c r="F54" s="98" t="n">
        <x:v>1.7632603334453538</x:v>
      </x:c>
      <x:c r="G54" s="98" t="n">
        <x:v>7.902716784198237</x:v>
      </x:c>
      <x:c r="H54" s="98" t="n">
        <x:v>0.37716443963898977</x:v>
      </x:c>
      <x:c r="I54" s="98" t="n">
        <x:v>1.6159440922537058</x:v>
      </x:c>
      <x:c r="J54" s="98" t="n">
        <x:v>3.6534642492867295</x:v>
      </x:c>
      <x:c r="K54" s="4"/>
    </x:row>
    <x:row r="55" ht="15.949999809265137">
      <x:c r="D55" s="6">
        <x:v>2081</x:v>
      </x:c>
      <x:c r="E55" s="98" t="n">
        <x:v>0.4062662488683029</x:v>
      </x:c>
      <x:c r="F55" s="98" t="n">
        <x:v>2.43284297096364</x:v>
      </x:c>
      <x:c r="G55" s="98" t="n">
        <x:v>11.001799290341426</x:v>
      </x:c>
      <x:c r="H55" s="98" t="n">
        <x:v>0.33696477502720024</x:v>
      </x:c>
      <x:c r="I55" s="98" t="n">
        <x:v>2.7880461155960914</x:v>
      </x:c>
      <x:c r="J55" s="98" t="n">
        <x:v>6.9363786128885305</x:v>
      </x:c>
      <x:c r="K55" s="4"/>
    </x:row>
    <x:row r="56" ht="15.949999809265137">
      <x:c r="D56" s="6">
        <x:v>2082</x:v>
      </x:c>
      <x:c r="E56" s="98" t="n">
        <x:v>0</x:v>
      </x:c>
      <x:c r="F56" s="98" t="n">
        <x:v>1.774663913913329</x:v>
      </x:c>
      <x:c r="G56" s="98" t="n">
        <x:v>5.719798512081283</x:v>
      </x:c>
      <x:c r="H56" s="98" t="n">
        <x:v>0</x:v>
      </x:c>
      <x:c r="I56" s="98" t="n">
        <x:v>1.4377403773307418</x:v>
      </x:c>
      <x:c r="J56" s="98" t="n">
        <x:v>3.323768492534592</x:v>
      </x:c>
      <x:c r="K56" s="4"/>
    </x:row>
    <x:row r="57" ht="15.949999809265137">
      <x:c r="D57" s="6">
        <x:v>2083</x:v>
      </x:c>
      <x:c r="E57" s="98" t="n">
        <x:v>0.03178507560631784</x:v>
      </x:c>
      <x:c r="F57" s="98" t="n">
        <x:v>1.8076012476315055</x:v>
      </x:c>
      <x:c r="G57" s="98" t="n">
        <x:v>6.032317951865311</x:v>
      </x:c>
      <x:c r="H57" s="98" t="n">
        <x:v>0.39836011472190674</x:v>
      </x:c>
      <x:c r="I57" s="98" t="n">
        <x:v>2.6896691026493516</x:v>
      </x:c>
      <x:c r="J57" s="98" t="n">
        <x:v>7.630551192867393</x:v>
      </x:c>
      <x:c r="K57" s="4"/>
    </x:row>
    <x:row r="58" ht="15.949999809265137">
      <x:c r="D58" s="6">
        <x:v>2084</x:v>
      </x:c>
      <x:c r="E58" s="98" t="n">
        <x:v>1.2485850238267702</x:v>
      </x:c>
      <x:c r="F58" s="98" t="n">
        <x:v>2.1835310226553295</x:v>
      </x:c>
      <x:c r="G58" s="98" t="n">
        <x:v>4.667977718494336</x:v>
      </x:c>
      <x:c r="H58" s="98" t="n">
        <x:v>0</x:v>
      </x:c>
      <x:c r="I58" s="98" t="n">
        <x:v>2.433989787542016</x:v>
      </x:c>
      <x:c r="J58" s="98" t="n">
        <x:v>6.543541725573245</x:v>
      </x:c>
      <x:c r="K58" s="4"/>
    </x:row>
    <x:row r="59" ht="15.949999809265137">
      <x:c r="D59" s="6">
        <x:v>2085</x:v>
      </x:c>
      <x:c r="E59" s="98" t="n">
        <x:v>0</x:v>
      </x:c>
      <x:c r="F59" s="98" t="n">
        <x:v>2.502387400393389</x:v>
      </x:c>
      <x:c r="G59" s="98" t="n">
        <x:v>5.983256569958459</x:v>
      </x:c>
      <x:c r="H59" s="98" t="n">
        <x:v>0.1799598117856822</x:v>
      </x:c>
      <x:c r="I59" s="98" t="n">
        <x:v>1.4482590937728372</x:v>
      </x:c>
      <x:c r="J59" s="98" t="n">
        <x:v>5.584487680493066</x:v>
      </x:c>
      <x:c r="K59" s="4"/>
    </x:row>
    <x:row r="60" ht="15.949999809265137">
      <x:c r="D60" s="6">
        <x:v>2086</x:v>
      </x:c>
      <x:c r="E60" s="98" t="n">
        <x:v>1.0555266644706045</x:v>
      </x:c>
      <x:c r="F60" s="98" t="n">
        <x:v>4.301412087144872</x:v>
      </x:c>
      <x:c r="G60" s="98" t="n">
        <x:v>9.14992979144866</x:v>
      </x:c>
      <x:c r="H60" s="98" t="n">
        <x:v>0.21281135214307373</x:v>
      </x:c>
      <x:c r="I60" s="98" t="n">
        <x:v>0.4090607309046647</x:v>
      </x:c>
      <x:c r="J60" s="98" t="n">
        <x:v>2.28694371883495</x:v>
      </x:c>
      <x:c r="K60" s="4"/>
    </x:row>
    <x:row r="61" ht="15.949999809265137">
      <x:c r="D61" s="6">
        <x:v>2087</x:v>
      </x:c>
      <x:c r="E61" s="98" t="n">
        <x:v>0.08574928888583175</x:v>
      </x:c>
      <x:c r="F61" s="98" t="n">
        <x:v>4.156865840742066</x:v>
      </x:c>
      <x:c r="G61" s="98" t="n">
        <x:v>11.06143954385644</x:v>
      </x:c>
      <x:c r="H61" s="98" t="n">
        <x:v>0.3419306907922533</x:v>
      </x:c>
      <x:c r="I61" s="98" t="n">
        <x:v>2.054928569027325</x:v>
      </x:c>
      <x:c r="J61" s="98" t="n">
        <x:v>3.9877536564837683</x:v>
      </x:c>
      <x:c r="K61" s="4"/>
    </x:row>
    <x:row r="62" ht="15.949999809265137">
      <x:c r="D62" s="6">
        <x:v>2088</x:v>
      </x:c>
      <x:c r="E62" s="98" t="n">
        <x:v>0.8598718717865846</x:v>
      </x:c>
      <x:c r="F62" s="98" t="n">
        <x:v>1.6636537796182527</x:v>
      </x:c>
      <x:c r="G62" s="98" t="n">
        <x:v>3.185022188279453</x:v>
      </x:c>
      <x:c r="H62" s="98" t="n">
        <x:v>0.1714985777716635</x:v>
      </x:c>
      <x:c r="I62" s="98" t="n">
        <x:v>2.934158326421424</x:v>
      </x:c>
      <x:c r="J62" s="98" t="n">
        <x:v>5.9493271586093925</x:v>
      </x:c>
      <x:c r="K62" s="4"/>
    </x:row>
    <x:row r="63" ht="15.949999809265137">
      <x:c r="D63" s="6">
        <x:v>2089</x:v>
      </x:c>
      <x:c r="E63" s="98" t="n">
        <x:v>0</x:v>
      </x:c>
      <x:c r="F63" s="98" t="n">
        <x:v>1.4619121606687202</x:v>
      </x:c>
      <x:c r="G63" s="98" t="n">
        <x:v>2.8504648300702518</x:v>
      </x:c>
      <x:c r="H63" s="98" t="n">
        <x:v>0</x:v>
      </x:c>
      <x:c r="I63" s="98" t="n">
        <x:v>2.0279915577271868</x:v>
      </x:c>
      <x:c r="J63" s="98" t="n">
        <x:v>7.016303053310314</x:v>
      </x:c>
      <x:c r="K63" s="4"/>
    </x:row>
    <x:row r="64" ht="15.949999809265137">
      <x:c r="D64" s="6">
        <x:v>2090</x:v>
      </x:c>
      <x:c r="E64" s="98" t="n">
        <x:v>0.2741717036701702</x:v>
      </x:c>
      <x:c r="F64" s="98" t="n">
        <x:v>0.9306355365722662</x:v>
      </x:c>
      <x:c r="G64" s="98" t="n">
        <x:v>3.6041894866823245</x:v>
      </x:c>
      <x:c r="H64" s="98" t="n">
        <x:v>0.24467024551056504</x:v>
      </x:c>
      <x:c r="I64" s="98" t="n">
        <x:v>2.118474783536141</x:v>
      </x:c>
      <x:c r="J64" s="98" t="n">
        <x:v>6.390007181574923</x:v>
      </x:c>
      <x:c r="K64" s="4"/>
    </x:row>
    <x:row r="65" ht="15.949999809265137">
      <x:c r="D65" s="6">
        <x:v>2091</x:v>
      </x:c>
      <x:c r="E65" s="98" t="n">
        <x:v>0.5090423287521945</x:v>
      </x:c>
      <x:c r="F65" s="99" t="n">
        <x:v>1.6287678174546096</x:v>
      </x:c>
      <x:c r="G65" s="99" t="n">
        <x:v>3.6384547178555975</x:v>
      </x:c>
      <x:c r="H65" s="99" t="n">
        <x:v>0</x:v>
      </x:c>
      <x:c r="I65" s="99" t="n">
        <x:v>1.9928717220791032</x:v>
      </x:c>
      <x:c r="J65" s="99" t="n">
        <x:v>8.047278984308297</x:v>
      </x:c>
      <x:c r="K65" s="4"/>
    </x:row>
    <x:row r="66" ht="15.949999809265137">
      <x:c r="D66" s="6">
        <x:v>2092</x:v>
      </x:c>
      <x:c r="E66" s="98" t="n">
        <x:v>0.225203018617453</x:v>
      </x:c>
      <x:c r="F66" s="99" t="n">
        <x:v>1.2466671121447428</x:v>
      </x:c>
      <x:c r="G66" s="99" t="n">
        <x:v>3.089216593334729</x:v>
      </x:c>
      <x:c r="H66" s="99" t="n">
        <x:v>0.00445253656200086</x:v>
      </x:c>
      <x:c r="I66" s="99" t="n">
        <x:v>4.396331892213704</x:v>
      </x:c>
      <x:c r="J66" s="99" t="n">
        <x:v>10.344108367347033</x:v>
      </x:c>
      <x:c r="K66" s="4"/>
    </x:row>
    <x:row r="67" ht="15.949999809265137">
      <x:c r="D67" s="6">
        <x:v>2093</x:v>
      </x:c>
      <x:c r="E67" s="98" t="n">
        <x:v>0.38062755489225414</x:v>
      </x:c>
      <x:c r="F67" s="99" t="n">
        <x:v>4.120488882287015</x:v>
      </x:c>
      <x:c r="G67" s="99" t="n">
        <x:v>7.2829348287275035</x:v>
      </x:c>
      <x:c r="H67" s="99" t="n">
        <x:v>0.33381675160099217</x:v>
      </x:c>
      <x:c r="I67" s="99" t="n">
        <x:v>2.6610575157846226</x:v>
      </x:c>
      <x:c r="J67" s="99" t="n">
        <x:v>8.897263389873897</x:v>
      </x:c>
      <x:c r="K67" s="4"/>
    </x:row>
    <x:row r="68" ht="15.949999809265137">
      <x:c r="D68" s="6">
        <x:v>2094</x:v>
      </x:c>
      <x:c r="E68" s="98" t="n">
        <x:v>0.08574928888583175</x:v>
      </x:c>
      <x:c r="F68" s="99" t="n">
        <x:v>1.7948086869909947</x:v>
      </x:c>
      <x:c r="G68" s="99" t="n">
        <x:v>5.87683666688338</x:v>
      </x:c>
      <x:c r="H68" s="99" t="n">
        <x:v>0.08574928888583175</x:v>
      </x:c>
      <x:c r="I68" s="99" t="n">
        <x:v>3.618729042610759</x:v>
      </x:c>
      <x:c r="J68" s="99" t="n">
        <x:v>11.630917803806867</x:v>
      </x:c>
      <x:c r="K68" s="4"/>
    </x:row>
    <x:row r="69" ht="15.949999809265137">
      <x:c r="D69" s="6">
        <x:v>2095</x:v>
      </x:c>
      <x:c r="E69" s="98" t="n">
        <x:v>0</x:v>
      </x:c>
      <x:c r="F69" s="99" t="n">
        <x:v>1.194193989587502</x:v>
      </x:c>
      <x:c r="G69" s="99" t="n">
        <x:v>3.0495255855119314</x:v>
      </x:c>
      <x:c r="H69" s="99" t="n">
        <x:v>0</x:v>
      </x:c>
      <x:c r="I69" s="99" t="n">
        <x:v>3.1254560799156357</x:v>
      </x:c>
      <x:c r="J69" s="99" t="n">
        <x:v>7.769732206366093</x:v>
      </x:c>
      <x:c r="K69" s="4"/>
    </x:row>
    <x:row r="70" ht="15.949999809265137">
      <x:c r="D70" s="6">
        <x:v>2096</x:v>
      </x:c>
      <x:c r="E70" s="98" t="n">
        <x:v>0.2805061768783712</x:v>
      </x:c>
      <x:c r="F70" s="99" t="n">
        <x:v>1.8507792800161529</x:v>
      </x:c>
      <x:c r="G70" s="99" t="n">
        <x:v>3.9774499095652938</x:v>
      </x:c>
      <x:c r="H70" s="99" t="n">
        <x:v>0.33934371156412724</x:v>
      </x:c>
      <x:c r="I70" s="99" t="n">
        <x:v>3.2826221047931865</x:v>
      </x:c>
      <x:c r="J70" s="99" t="n">
        <x:v>9.172745086424825</x:v>
      </x:c>
      <x:c r="K70" s="4"/>
    </x:row>
    <x:row r="71" ht="15.949999809265137">
      <x:c r="D71" s="6">
        <x:v>2097</x:v>
      </x:c>
      <x:c r="E71" s="98" t="n">
        <x:v>0</x:v>
      </x:c>
      <x:c r="F71" s="99" t="n">
        <x:v>3.3982984453757545</x:v>
      </x:c>
      <x:c r="G71" s="99" t="n">
        <x:v>10.917543057818667</x:v>
      </x:c>
      <x:c r="H71" s="99" t="n">
        <x:v>0.3120779926270001</x:v>
      </x:c>
      <x:c r="I71" s="99" t="n">
        <x:v>3.155036503162222</x:v>
      </x:c>
      <x:c r="J71" s="99" t="n">
        <x:v>10.912571763402896</x:v>
      </x:c>
      <x:c r="K71" s="4"/>
    </x:row>
    <x:row r="72" ht="15.949999809265137">
      <x:c r="D72" s="6">
        <x:v>2098</x:v>
      </x:c>
      <x:c r="E72" s="98" t="n">
        <x:v>0.08574928888583175</x:v>
      </x:c>
      <x:c r="F72" s="99" t="n">
        <x:v>0.9201684842173935</x:v>
      </x:c>
      <x:c r="G72" s="99" t="n">
        <x:v>8.651907363004298</x:v>
      </x:c>
      <x:c r="H72" s="99" t="n">
        <x:v>1.0634322183938756</x:v>
      </x:c>
      <x:c r="I72" s="99" t="n">
        <x:v>2.068689193341692</x:v>
      </x:c>
      <x:c r="J72" s="99" t="n">
        <x:v>9.503080140619454</x:v>
      </x:c>
      <x:c r="K72" s="4"/>
    </x:row>
    <x:row r="73" ht="15.949999809265137">
      <x:c r="D73" s="6">
        <x:v>2099</x:v>
      </x:c>
      <x:c r="E73" s="98" t="n">
        <x:v>0</x:v>
      </x:c>
      <x:c r="F73" s="99" t="n">
        <x:v>1.034548115904892</x:v>
      </x:c>
      <x:c r="G73" s="99" t="n">
        <x:v>8.603116235874634</x:v>
      </x:c>
      <x:c r="H73" s="99" t="n">
        <x:v>0.512362803812843</x:v>
      </x:c>
      <x:c r="I73" s="99" t="n">
        <x:v>1.2561847107792512</x:v>
      </x:c>
      <x:c r="J73" s="99" t="n">
        <x:v>4.613090129345131</x:v>
      </x:c>
      <x:c r="K73" s="4"/>
    </x:row>
    <x:row r="74" ht="15.949999809265137">
      <x:c r="H74" s="4"/>
      <x:c r="I74" s="4"/>
      <x:c r="J74" s="4"/>
      <x:c r="K74" s="4"/>
    </x:row>
    <x:row r="75" ht="15.949999809265137">
      <x:c r="H75" s="4"/>
      <x:c r="I75" s="4"/>
      <x:c r="J75" s="4"/>
      <x:c r="K75" s="4"/>
    </x:row>
    <x:row r="76" ht="15.949999809265137">
      <x:c r="H76" s="4"/>
      <x:c r="I76" s="4"/>
      <x:c r="J76" s="4"/>
      <x:c r="K76" s="4"/>
    </x:row>
    <x:row r="77" ht="15.949999809265137">
      <x:c r="H77" s="4"/>
      <x:c r="I77" s="4"/>
      <x:c r="J77" s="4"/>
      <x:c r="K77" s="4"/>
    </x:row>
    <x:row r="78" ht="15.949999809265137">
      <x:c r="H78" s="4"/>
      <x:c r="I78" s="4"/>
      <x:c r="J78" s="4"/>
      <x:c r="K78" s="4"/>
    </x:row>
    <x:row r="79" ht="15.949999809265137">
      <x:c r="H79" s="4"/>
      <x:c r="I79" s="4"/>
      <x:c r="J79" s="4"/>
      <x:c r="K79" s="4"/>
    </x:row>
    <x:row r="80" ht="15.949999809265137">
      <x:c r="H80" s="4"/>
      <x:c r="I80" s="4"/>
      <x:c r="J80" s="4"/>
      <x:c r="K80" s="4"/>
    </x:row>
    <x:row r="81" ht="15.949999809265137">
      <x:c r="H81" s="4"/>
      <x:c r="I81" s="4"/>
      <x:c r="J81" s="4"/>
      <x:c r="K81" s="4"/>
    </x:row>
    <x:row r="82" ht="15.949999809265137">
      <x:c r="H82" s="4"/>
      <x:c r="I82" s="4"/>
      <x:c r="J82" s="4"/>
      <x:c r="K82" s="4"/>
    </x:row>
    <x:row r="83" ht="15.949999809265137">
      <x:c r="H83" s="4"/>
      <x:c r="I83" s="4"/>
      <x:c r="J83" s="4"/>
      <x:c r="K83" s="4"/>
    </x:row>
    <x:row r="84" ht="15.949999809265137">
      <x:c r="H84" s="4"/>
      <x:c r="I84" s="4"/>
      <x:c r="J84" s="4"/>
      <x:c r="K84" s="4"/>
    </x:row>
    <x:row r="85" ht="15.949999809265137">
      <x:c r="H85" s="4"/>
      <x:c r="I85" s="4"/>
      <x:c r="J85" s="4"/>
      <x:c r="K85" s="4"/>
      <x:c r="L85" s="4"/>
    </x:row>
    <x:row r="86" ht="15.949999809265137">
      <x:c r="H86" s="4"/>
      <x:c r="I86" s="4"/>
      <x:c r="J86" s="4"/>
      <x:c r="K86" s="4"/>
      <x:c r="L86" s="4"/>
    </x:row>
    <x:row r="87" ht="15.949999809265137">
      <x:c r="H87" s="4"/>
      <x:c r="I87" s="4"/>
      <x:c r="J87" s="4"/>
      <x:c r="K87" s="4"/>
      <x:c r="L87" s="4"/>
    </x:row>
    <x:row r="88" ht="15.949999809265137">
      <x:c r="H88" s="4"/>
      <x:c r="I88" s="4"/>
      <x:c r="J88" s="4"/>
      <x:c r="K88" s="4"/>
      <x:c r="L88" s="4"/>
    </x:row>
    <x:row r="89" ht="15.949999809265137">
      <x:c r="H89" s="4"/>
      <x:c r="I89" s="4"/>
      <x:c r="J89" s="4"/>
      <x:c r="K89" s="4"/>
      <x:c r="L89" s="4"/>
    </x:row>
    <x:row r="90" ht="15.949999809265137">
      <x:c r="H90" s="4"/>
      <x:c r="I90" s="4"/>
      <x:c r="J90" s="4"/>
      <x:c r="K90" s="4"/>
      <x:c r="L90" s="4"/>
    </x:row>
    <x:row r="91" ht="15.949999809265137">
      <x:c r="H91" s="4"/>
      <x:c r="I91" s="4"/>
      <x:c r="J91" s="4"/>
      <x:c r="K91" s="4"/>
      <x:c r="L91" s="4"/>
    </x:row>
    <x:row r="92" ht="15.949999809265137">
      <x:c r="H92" s="4"/>
      <x:c r="I92" s="4"/>
      <x:c r="J92" s="4"/>
      <x:c r="K92" s="4"/>
      <x:c r="L92" s="4"/>
    </x:row>
    <x:row r="93" ht="15.949999809265137">
      <x:c r="H93" s="4"/>
      <x:c r="I93" s="4"/>
      <x:c r="J93" s="4"/>
      <x:c r="K93" s="4"/>
      <x:c r="L93" s="4"/>
    </x:row>
    <x:row r="94" ht="15.949999809265137">
      <x:c r="H94" s="4"/>
      <x:c r="I94" s="4"/>
      <x:c r="J94" s="4"/>
      <x:c r="K94" s="4"/>
      <x:c r="L94" s="4"/>
    </x:row>
    <x:row r="95" ht="15.949999809265137">
      <x:c r="K95" s="4"/>
      <x:c r="L95" s="4"/>
    </x:row>
    <x:row r="96" ht="15.949999809265137">
      <x:c r="K96" s="4"/>
      <x:c r="L96" s="4"/>
    </x:row>
    <x:row r="97" ht="15.949999809265137">
      <x:c r="K97" s="4"/>
      <x:c r="L97" s="4"/>
    </x:row>
    <x:row r="98" ht="15.949999809265137">
      <x:c r="K98" s="4"/>
      <x:c r="L98" s="4"/>
    </x:row>
    <x:row r="99" ht="15.949999809265137">
      <x:c r="K99" s="4"/>
      <x:c r="L99" s="4"/>
    </x:row>
    <x:row r="100" ht="15.949999809265137">
      <x:c r="K100" s="4"/>
      <x:c r="L100" s="4"/>
    </x:row>
    <x:row r="101" ht="15.949999809265137">
      <x:c r="K101" s="4"/>
      <x:c r="L101" s="4"/>
    </x:row>
    <x:row r="102" ht="15.949999809265137">
      <x:c r="K102" s="4"/>
      <x:c r="L102" s="4"/>
    </x:row>
    <x:row r="103" ht="15.949999809265137">
      <x:c r="K103" s="4"/>
      <x:c r="L103" s="4"/>
    </x:row>
    <x:row r="104" ht="15.949999809265137">
      <x:c r="K104" s="4"/>
      <x:c r="L104" s="4"/>
    </x:row>
    <x:row r="105" ht="15.949999809265137">
      <x:c r="K105" s="4"/>
      <x:c r="L105" s="4"/>
    </x:row>
    <x:row r="106" ht="15.949999809265137">
      <x:c r="K106" s="4"/>
      <x:c r="L106" s="4"/>
    </x:row>
    <x:row r="107" ht="15.949999809265137">
      <x:c r="K107" s="4"/>
      <x:c r="L107" s="4"/>
    </x:row>
    <x:row r="108" ht="15.949999809265137">
      <x:c r="K108" s="4"/>
      <x:c r="L108" s="4"/>
    </x:row>
    <x:row r="109" ht="15.949999809265137">
      <x:c r="K109" s="4"/>
      <x:c r="L109" s="4"/>
    </x:row>
    <x:row r="110" ht="15.949999809265137">
      <x:c r="K110" s="4"/>
      <x:c r="L110" s="4"/>
    </x:row>
    <x:row r="111" ht="15.949999809265137">
      <x:c r="K111" s="4"/>
      <x:c r="L111" s="4"/>
    </x:row>
    <x:row r="112" ht="15.949999809265137">
      <x:c r="K112" s="4"/>
      <x:c r="L112" s="4"/>
    </x:row>
    <x:row r="113" ht="15.949999809265137">
      <x:c r="K113" s="4"/>
      <x:c r="L113" s="4"/>
    </x:row>
    <x:row r="114" ht="15.949999809265137">
      <x:c r="K114" s="4"/>
      <x:c r="L114" s="4"/>
    </x:row>
  </x:sheetData>
  <x:mergeCells>
    <x:mergeCell ref="A10:B10"/>
    <x:mergeCell ref="A4:A6"/>
    <x:mergeCell ref="B4:B6"/>
    <x:mergeCell ref="C4:C6"/>
    <x:mergeCell ref="G5:I5"/>
    <x:mergeCell ref="H12:J12"/>
    <x:mergeCell ref="E12:G12"/>
    <x:mergeCell ref="E11:J11"/>
    <x:mergeCell ref="D11:D13"/>
    <x:mergeCell ref="D10:J10"/>
    <x:mergeCell ref="J5:L5"/>
    <x:mergeCell ref="A7:A8"/>
    <x:mergeCell ref="B7:B8"/>
    <x:mergeCell ref="C7:C8"/>
    <x:mergeCell ref="M5:O5"/>
    <x:mergeCell ref="D5:F5"/>
    <x:mergeCell ref="A3:B3"/>
    <x:mergeCell ref="D4:I4"/>
    <x:mergeCell ref="J4:O4"/>
    <x:mergeCell ref="D3:O3"/>
    <x:mergeCell ref="A2:O2"/>
  </x:mergeCells>
  <x:pageMargins left="0.7" right="0.7" top="0.75" bottom="0.75" header="0.3" footer="0.3"/>
  <x:legacyDrawing xmlns:r="http://schemas.openxmlformats.org/officeDocument/2006/relationships" r:id="Rd6b61f9a674947f3"/>
</x:worksheet>
</file>

<file path=xl/worksheets/sheet4.xml><?xml version="1.0" encoding="utf-8"?>
<x:worksheet xmlns:x="http://schemas.openxmlformats.org/spreadsheetml/2006/main">
  <x:sheetFormatPr defaultRowHeight="14.449999809265137"/>
  <x:cols>
    <x:col min="1" max="1" width="18.42578125" customWidth="1"/>
    <x:col min="2" max="2" width="13.28515625" customWidth="1"/>
    <x:col min="3" max="21" width="11.140625" customWidth="1"/>
  </x:cols>
  <x:sheetData>
    <x:row r="2" ht="15.949999809265137" customHeight="1">
      <x:c r="A2" s="83" t="s">
        <x:v>47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</x:row>
    <x:row r="3" ht="15.949999809265137" customHeight="1">
      <x:c r="A3" s="46" t="s">
        <x:v>11</x:v>
      </x:c>
      <x:c r="B3" s="47"/>
      <x:c r="C3" s="14" t="s">
        <x:v>20</x:v>
      </x:c>
      <x:c r="D3" s="48" t="s">
        <x:v>21</x:v>
      </x:c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 ht="15.949999809265137" customHeight="1">
      <x:c r="A4" s="51" t="s">
        <x:v>48</x:v>
      </x:c>
      <x:c r="B4" s="54" t="s">
        <x:v>23</x:v>
      </x:c>
      <x:c r="C4" s="54" t="s">
        <x:v>49</x:v>
      </x:c>
      <x:c r="D4" s="57" t="s">
        <x:v>25</x:v>
      </x:c>
      <x:c r="E4" s="58"/>
      <x:c r="F4" s="58"/>
      <x:c r="G4" s="58"/>
      <x:c r="H4" s="58"/>
      <x:c r="I4" s="59"/>
      <x:c r="J4" s="60" t="s">
        <x:v>26</x:v>
      </x:c>
      <x:c r="K4" s="61"/>
      <x:c r="L4" s="61"/>
      <x:c r="M4" s="61"/>
      <x:c r="N4" s="61"/>
      <x:c r="O4" s="62"/>
    </x:row>
    <x:row r="5" ht="15.949999809265137" customHeight="1">
      <x:c r="A5" s="52"/>
      <x:c r="B5" s="55"/>
      <x:c r="C5" s="55"/>
      <x:c r="D5" s="63" t="s">
        <x:v>27</x:v>
      </x:c>
      <x:c r="E5" s="63"/>
      <x:c r="F5" s="63"/>
      <x:c r="G5" s="63" t="s">
        <x:v>28</x:v>
      </x:c>
      <x:c r="H5" s="63"/>
      <x:c r="I5" s="63"/>
      <x:c r="J5" s="37" t="s">
        <x:v>27</x:v>
      </x:c>
      <x:c r="K5" s="37"/>
      <x:c r="L5" s="37"/>
      <x:c r="M5" s="37" t="s">
        <x:v>28</x:v>
      </x:c>
      <x:c r="N5" s="37"/>
      <x:c r="O5" s="64"/>
    </x:row>
    <x:row r="6" ht="32.099998474121094">
      <x:c r="A6" s="53"/>
      <x:c r="B6" s="56"/>
      <x:c r="C6" s="56"/>
      <x:c r="D6" s="18" t="s">
        <x:v>29</x:v>
      </x:c>
      <x:c r="E6" s="18" t="s">
        <x:v>30</x:v>
      </x:c>
      <x:c r="F6" s="18" t="s">
        <x:v>31</x:v>
      </x:c>
      <x:c r="G6" s="18" t="s">
        <x:v>29</x:v>
      </x:c>
      <x:c r="H6" s="18" t="s">
        <x:v>30</x:v>
      </x:c>
      <x:c r="I6" s="18" t="s">
        <x:v>31</x:v>
      </x:c>
      <x:c r="J6" s="19" t="s">
        <x:v>29</x:v>
      </x:c>
      <x:c r="K6" s="19" t="s">
        <x:v>30</x:v>
      </x:c>
      <x:c r="L6" s="19" t="s">
        <x:v>31</x:v>
      </x:c>
      <x:c r="M6" s="19" t="s">
        <x:v>29</x:v>
      </x:c>
      <x:c r="N6" s="19" t="s">
        <x:v>30</x:v>
      </x:c>
      <x:c r="O6" s="20" t="s">
        <x:v>31</x:v>
      </x:c>
    </x:row>
    <x:row r="7" ht="97.5" customHeight="1">
      <x:c r="A7" s="38" t="s">
        <x:v>50</x:v>
      </x:c>
      <x:c r="B7" s="38" t="s">
        <x:v>51</x:v>
      </x:c>
      <x:c r="C7" s="109" t="n">
        <x:f>AVERAGE(B12:B27)</x:f>
        <x:v>9.875</x:v>
      </x:c>
      <x:c r="D7" s="101" t="n">
        <x:v>12.897755026440644</x:v>
      </x:c>
      <x:c r="E7" s="101" t="n">
        <x:v>25.28638032157024</x:v>
      </x:c>
      <x:c r="F7" s="101" t="n">
        <x:v>36.40024323592134</x:v>
      </x:c>
      <x:c r="G7" s="101" t="n">
        <x:v>23.47305335766161</x:v>
      </x:c>
      <x:c r="H7" s="101" t="n">
        <x:v>31.570152650356015</x:v>
      </x:c>
      <x:c r="I7" s="101" t="n">
        <x:v>45.178655215963246</x:v>
      </x:c>
      <x:c r="J7" s="101" t="n">
        <x:v>18.1186070112224</x:v>
      </x:c>
      <x:c r="K7" s="101" t="n">
        <x:v>28.91569950208204</x:v>
      </x:c>
      <x:c r="L7" s="101" t="n">
        <x:v>39.08193879143806</x:v>
      </x:c>
      <x:c r="M7" s="101" t="n">
        <x:v>23.76353213046393</x:v>
      </x:c>
      <x:c r="N7" s="101" t="n">
        <x:v>39.73118551787415</x:v>
      </x:c>
      <x:c r="O7" s="101" t="n">
        <x:v>54.18235233521864</x:v>
      </x:c>
    </x:row>
    <x:row r="8" ht="102.94999694824219" customHeight="1">
      <x:c r="A8" s="105" t="str">
        <x:v>Relative change from baseline</x:v>
      </x:c>
      <x:c r="B8" s="105"/>
      <x:c r="C8" s="111"/>
      <x:c r="D8" s="106" t="n">
        <x:v>0.30610177482943224</x:v>
      </x:c>
      <x:c r="E8" s="106" t="n">
        <x:v>1.5606461085134418</x:v>
      </x:c>
      <x:c r="F8" s="106" t="n">
        <x:v>2.6861005808527936</x:v>
      </x:c>
      <x:c r="G8" s="106" t="n">
        <x:v>1.3770180615353529</x:v>
      </x:c>
      <x:c r="H8" s="106" t="n">
        <x:v>2.1969774835803557</x:v>
      </x:c>
      <x:c r="I8" s="106" t="n">
        <x:v>3.575053692755772</x:v>
      </x:c>
      <x:c r="J8" s="106" t="n">
        <x:v>0.834795646706066</x:v>
      </x:c>
      <x:c r="K8" s="106" t="n">
        <x:v>1.9281721014766624</x:v>
      </x:c>
      <x:c r="L8" s="106" t="n">
        <x:v>2.9576646877405635</x:v>
      </x:c>
      <x:c r="M8" s="106" t="n">
        <x:v>1.4064336334647016</x:v>
      </x:c>
      <x:c r="N8" s="106" t="n">
        <x:v>3.0234111916834583</x:v>
      </x:c>
      <x:c r="O8" s="106" t="n">
        <x:v>4.486820489642394</x:v>
      </x:c>
    </x:row>
    <x:row r="9" ht="15.949999809265137">
      <x:c r="A9" s="15"/>
      <x:c r="B9" s="15"/>
      <x:c r="C9" s="16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</x:row>
    <x:row r="10" ht="15.949999809265137">
      <x:c r="A10" s="41" t="s">
        <x:v>52</x:v>
      </x:c>
      <x:c r="B10" s="41"/>
      <x:c r="C10" s="4"/>
      <x:c r="D10" s="40" t="s">
        <x:v>53</x:v>
      </x:c>
      <x:c r="E10" s="41"/>
      <x:c r="F10" s="41"/>
      <x:c r="G10" s="41"/>
      <x:c r="H10" s="41"/>
      <x:c r="I10" s="41"/>
      <x:c r="J10" s="42"/>
      <x:c r="K10" s="4"/>
      <x:c r="L10" s="4"/>
    </x:row>
    <x:row r="11" ht="186.9499969482422" customHeight="1">
      <x:c r="A11" s="26" t="s">
        <x:v>36</x:v>
      </x:c>
      <x:c r="B11" s="21" t="s">
        <x:v>54</x:v>
      </x:c>
      <x:c r="C11" s="4"/>
      <x:c r="D11" s="30" t="s">
        <x:v>36</x:v>
      </x:c>
      <x:c r="E11" s="32" t="s">
        <x:v>55</x:v>
      </x:c>
      <x:c r="F11" s="32"/>
      <x:c r="G11" s="32"/>
      <x:c r="H11" s="32"/>
      <x:c r="I11" s="32"/>
      <x:c r="J11" s="33"/>
      <x:c r="K11" s="4"/>
      <x:c r="L11" s="4"/>
    </x:row>
    <x:row r="12" ht="15.949999809265137">
      <x:c r="A12" s="6">
        <x:v>2009</x:v>
      </x:c>
      <x:c r="B12" s="107">
        <x:v>13</x:v>
      </x:c>
      <x:c r="C12" s="4"/>
      <x:c r="D12" s="30"/>
      <x:c r="E12" s="34" t="s">
        <x:v>39</x:v>
      </x:c>
      <x:c r="F12" s="34"/>
      <x:c r="G12" s="34"/>
      <x:c r="H12" s="35" t="s">
        <x:v>40</x:v>
      </x:c>
      <x:c r="I12" s="35"/>
      <x:c r="J12" s="36"/>
      <x:c r="K12" s="4"/>
      <x:c r="L12" s="4"/>
    </x:row>
    <x:row r="13" ht="32.099998474121094">
      <x:c r="A13" s="6">
        <x:v>2010</x:v>
      </x:c>
      <x:c r="B13" s="107">
        <x:v>6</x:v>
      </x:c>
      <x:c r="C13" s="4"/>
      <x:c r="D13" s="31"/>
      <x:c r="E13" s="18" t="s">
        <x:v>29</x:v>
      </x:c>
      <x:c r="F13" s="18" t="s">
        <x:v>30</x:v>
      </x:c>
      <x:c r="G13" s="18" t="s">
        <x:v>31</x:v>
      </x:c>
      <x:c r="H13" s="19" t="s">
        <x:v>29</x:v>
      </x:c>
      <x:c r="I13" s="19" t="s">
        <x:v>30</x:v>
      </x:c>
      <x:c r="J13" s="20" t="s">
        <x:v>31</x:v>
      </x:c>
      <x:c r="K13" s="4"/>
      <x:c r="L13" s="4"/>
    </x:row>
    <x:row r="14" ht="15.949999809265137">
      <x:c r="A14" s="6">
        <x:v>2011</x:v>
      </x:c>
      <x:c r="B14" s="107">
        <x:v>12</x:v>
      </x:c>
      <x:c r="C14" s="4"/>
      <x:c r="D14" s="6">
        <x:v>2040</x:v>
      </x:c>
      <x:c r="E14" s="98" t="n">
        <x:v>11.284093480560898</x:v>
      </x:c>
      <x:c r="F14" s="98" t="n">
        <x:v>25.52474904095105</x:v>
      </x:c>
      <x:c r="G14" s="98" t="n">
        <x:v>39.34299152940844</x:v>
      </x:c>
      <x:c r="H14" s="98" t="n">
        <x:v>9.051225427573726</x:v>
      </x:c>
      <x:c r="I14" s="98" t="n">
        <x:v>29.932246405818706</x:v>
      </x:c>
      <x:c r="J14" s="98" t="n">
        <x:v>46.882215803394814</x:v>
      </x:c>
      <x:c r="K14" s="4"/>
      <x:c r="L14" s="4"/>
    </x:row>
    <x:row r="15" ht="15.949999809265137">
      <x:c r="A15" s="6">
        <x:v>2012</x:v>
      </x:c>
      <x:c r="B15" s="107">
        <x:v>6</x:v>
      </x:c>
      <x:c r="C15" s="4"/>
      <x:c r="D15" s="6">
        <x:v>2041</x:v>
      </x:c>
      <x:c r="E15" s="98" t="n">
        <x:v>6.919236484373149</x:v>
      </x:c>
      <x:c r="F15" s="98" t="n">
        <x:v>18.871444957168904</x:v>
      </x:c>
      <x:c r="G15" s="98" t="n">
        <x:v>36.300287886103014</x:v>
      </x:c>
      <x:c r="H15" s="98" t="n">
        <x:v>11.401063102757307</x:v>
      </x:c>
      <x:c r="I15" s="98" t="n">
        <x:v>21.752482724115243</x:v>
      </x:c>
      <x:c r="J15" s="98" t="n">
        <x:v>33.11210634153626</x:v>
      </x:c>
      <x:c r="K15" s="4"/>
      <x:c r="L15" s="4"/>
    </x:row>
    <x:row r="16" ht="15.949999809265137">
      <x:c r="A16" s="6">
        <x:v>2013</x:v>
      </x:c>
      <x:c r="B16" s="107">
        <x:v>15</x:v>
      </x:c>
      <x:c r="C16" s="4"/>
      <x:c r="D16" s="6">
        <x:v>2042</x:v>
      </x:c>
      <x:c r="E16" s="98" t="n">
        <x:v>5.2034656330899764</x:v>
      </x:c>
      <x:c r="F16" s="98" t="n">
        <x:v>15.920969723112725</x:v>
      </x:c>
      <x:c r="G16" s="98" t="n">
        <x:v>31.51990959646858</x:v>
      </x:c>
      <x:c r="H16" s="98" t="n">
        <x:v>9.969317085051392</x:v>
      </x:c>
      <x:c r="I16" s="98" t="n">
        <x:v>26.186449907506265</x:v>
      </x:c>
      <x:c r="J16" s="98" t="n">
        <x:v>36.10573718007088</x:v>
      </x:c>
      <x:c r="K16" s="4"/>
      <x:c r="L16" s="4"/>
    </x:row>
    <x:row r="17" ht="15.949999809265137">
      <x:c r="A17" s="6">
        <x:v>2014</x:v>
      </x:c>
      <x:c r="B17" s="107">
        <x:v>6</x:v>
      </x:c>
      <x:c r="C17" s="4"/>
      <x:c r="D17" s="6">
        <x:v>2043</x:v>
      </x:c>
      <x:c r="E17" s="98" t="n">
        <x:v>9.578814627267018</x:v>
      </x:c>
      <x:c r="F17" s="98" t="n">
        <x:v>20.51893190663857</x:v>
      </x:c>
      <x:c r="G17" s="98" t="n">
        <x:v>34.04959903004005</x:v>
      </x:c>
      <x:c r="H17" s="98" t="n">
        <x:v>13.611599751736039</x:v>
      </x:c>
      <x:c r="I17" s="98" t="n">
        <x:v>30.760868406350863</x:v>
      </x:c>
      <x:c r="J17" s="98" t="n">
        <x:v>39.52750264124981</x:v>
      </x:c>
      <x:c r="K17" s="4"/>
      <x:c r="L17" s="4"/>
    </x:row>
    <x:row r="18" ht="15.949999809265137">
      <x:c r="A18" s="6">
        <x:v>2015</x:v>
      </x:c>
      <x:c r="B18" s="107">
        <x:v>14</x:v>
      </x:c>
      <x:c r="C18" s="4"/>
      <x:c r="D18" s="6">
        <x:v>2044</x:v>
      </x:c>
      <x:c r="E18" s="98" t="n">
        <x:v>11.60240762231754</x:v>
      </x:c>
      <x:c r="F18" s="98" t="n">
        <x:v>23.123585439028886</x:v>
      </x:c>
      <x:c r="G18" s="98" t="n">
        <x:v>37.852805379349924</x:v>
      </x:c>
      <x:c r="H18" s="98" t="n">
        <x:v>11.318670658105086</x:v>
      </x:c>
      <x:c r="I18" s="98" t="n">
        <x:v>26.2178460333101</x:v>
      </x:c>
      <x:c r="J18" s="98" t="n">
        <x:v>45.057532738774306</x:v>
      </x:c>
      <x:c r="K18" s="4"/>
      <x:c r="L18" s="4"/>
    </x:row>
    <x:row r="19" ht="15.949999809265137">
      <x:c r="A19" s="6">
        <x:v>2016</x:v>
      </x:c>
      <x:c r="B19" s="107">
        <x:v>12</x:v>
      </x:c>
      <x:c r="C19" s="4"/>
      <x:c r="D19" s="6">
        <x:v>2045</x:v>
      </x:c>
      <x:c r="E19" s="98" t="n">
        <x:v>10.218889863455995</x:v>
      </x:c>
      <x:c r="F19" s="98" t="n">
        <x:v>29.611949471205136</x:v>
      </x:c>
      <x:c r="G19" s="98" t="n">
        <x:v>43.34964883170648</x:v>
      </x:c>
      <x:c r="H19" s="98" t="n">
        <x:v>15.842826371905256</x:v>
      </x:c>
      <x:c r="I19" s="98" t="n">
        <x:v>21.849065406685163</x:v>
      </x:c>
      <x:c r="J19" s="98" t="n">
        <x:v>33.42650111996827</x:v>
      </x:c>
      <x:c r="K19" s="4"/>
      <x:c r="L19" s="4"/>
    </x:row>
    <x:row r="20" ht="15.949999809265137">
      <x:c r="A20" s="6">
        <x:v>2017</x:v>
      </x:c>
      <x:c r="B20" s="107">
        <x:v>19</x:v>
      </x:c>
      <x:c r="C20" s="4"/>
      <x:c r="D20" s="6">
        <x:v>2046</x:v>
      </x:c>
      <x:c r="E20" s="98" t="n">
        <x:v>14.270592635639396</x:v>
      </x:c>
      <x:c r="F20" s="98" t="n">
        <x:v>24.78900675194094</x:v>
      </x:c>
      <x:c r="G20" s="98" t="n">
        <x:v>37.29795723226678</x:v>
      </x:c>
      <x:c r="H20" s="98" t="n">
        <x:v>11.84500736900289</x:v>
      </x:c>
      <x:c r="I20" s="98" t="n">
        <x:v>24.326318329961154</x:v>
      </x:c>
      <x:c r="J20" s="98" t="n">
        <x:v>34.126391749985864</x:v>
      </x:c>
      <x:c r="K20" s="4"/>
      <x:c r="L20" s="4"/>
    </x:row>
    <x:row r="21" ht="15.949999809265137">
      <x:c r="A21" s="6">
        <x:v>2018</x:v>
      </x:c>
      <x:c r="B21" s="107">
        <x:v>16</x:v>
      </x:c>
      <x:c r="C21" s="4"/>
      <x:c r="D21" s="6">
        <x:v>2047</x:v>
      </x:c>
      <x:c r="E21" s="98" t="n">
        <x:v>5.190467948705543</x:v>
      </x:c>
      <x:c r="F21" s="98" t="n">
        <x:v>22.932168017276936</x:v>
      </x:c>
      <x:c r="G21" s="98" t="n">
        <x:v>39.70273152580872</x:v>
      </x:c>
      <x:c r="H21" s="98" t="n">
        <x:v>12.872908122743901</x:v>
      </x:c>
      <x:c r="I21" s="98" t="n">
        <x:v>25.25505939403195</x:v>
      </x:c>
      <x:c r="J21" s="98" t="n">
        <x:v>50.93511753974871</x:v>
      </x:c>
      <x:c r="K21" s="4"/>
      <x:c r="L21" s="4"/>
    </x:row>
    <x:row r="22" ht="15.949999809265137">
      <x:c r="A22" s="6">
        <x:v>2019</x:v>
      </x:c>
      <x:c r="B22" s="107">
        <x:v>13</x:v>
      </x:c>
      <x:c r="C22" s="4"/>
      <x:c r="D22" s="6">
        <x:v>2048</x:v>
      </x:c>
      <x:c r="E22" s="98" t="n">
        <x:v>19.321857808007923</x:v>
      </x:c>
      <x:c r="F22" s="98" t="n">
        <x:v>25.063440006448502</x:v>
      </x:c>
      <x:c r="G22" s="98" t="n">
        <x:v>41.51432657886469</x:v>
      </x:c>
      <x:c r="H22" s="98" t="n">
        <x:v>13.64913268981584</x:v>
      </x:c>
      <x:c r="I22" s="98" t="n">
        <x:v>26.77851831537443</x:v>
      </x:c>
      <x:c r="J22" s="98" t="n">
        <x:v>44.13319871278744</x:v>
      </x:c>
      <x:c r="K22" s="4"/>
      <x:c r="L22" s="4"/>
    </x:row>
    <x:row r="23" ht="15.949999809265137">
      <x:c r="A23" s="6">
        <x:v>2020</x:v>
      </x:c>
      <x:c r="B23" s="107">
        <x:v>8</x:v>
      </x:c>
      <x:c r="C23" s="4"/>
      <x:c r="D23" s="6">
        <x:v>2049</x:v>
      </x:c>
      <x:c r="E23" s="98" t="n">
        <x:v>8.764402927399352</x:v>
      </x:c>
      <x:c r="F23" s="98" t="n">
        <x:v>19.43775046246559</x:v>
      </x:c>
      <x:c r="G23" s="98" t="n">
        <x:v>39.38277976418582</x:v>
      </x:c>
      <x:c r="H23" s="98" t="n">
        <x:v>11.883802628404007</x:v>
      </x:c>
      <x:c r="I23" s="98" t="n">
        <x:v>25.49198524344152</x:v>
      </x:c>
      <x:c r="J23" s="98" t="n">
        <x:v>41.77412566440832</x:v>
      </x:c>
      <x:c r="K23" s="4"/>
      <x:c r="L23" s="4"/>
    </x:row>
    <x:row r="24" ht="15.949999809265137">
      <x:c r="A24" s="6">
        <x:v>2021</x:v>
      </x:c>
      <x:c r="B24" s="107">
        <x:v>2</x:v>
      </x:c>
      <x:c r="C24" s="4"/>
      <x:c r="D24" s="6">
        <x:v>2050</x:v>
      </x:c>
      <x:c r="E24" s="98" t="n">
        <x:v>9.09409547329785</x:v>
      </x:c>
      <x:c r="F24" s="98" t="n">
        <x:v>19.41065900977391</x:v>
      </x:c>
      <x:c r="G24" s="98" t="n">
        <x:v>38.35577757087736</x:v>
      </x:c>
      <x:c r="H24" s="98" t="n">
        <x:v>20.01318054674024</x:v>
      </x:c>
      <x:c r="I24" s="98" t="n">
        <x:v>31.81192975756685</x:v>
      </x:c>
      <x:c r="J24" s="98" t="n">
        <x:v>46.603349632089156</x:v>
      </x:c>
      <x:c r="K24" s="4"/>
      <x:c r="L24" s="4"/>
    </x:row>
    <x:row r="25" ht="15.949999809265137">
      <x:c r="A25" s="6">
        <x:v>2022</x:v>
      </x:c>
      <x:c r="B25" s="107">
        <x:v>0</x:v>
      </x:c>
      <x:c r="C25" s="4"/>
      <x:c r="D25" s="6">
        <x:v>2051</x:v>
      </x:c>
      <x:c r="E25" s="98" t="n">
        <x:v>12.367091779219331</x:v>
      </x:c>
      <x:c r="F25" s="98" t="n">
        <x:v>24.955081960227943</x:v>
      </x:c>
      <x:c r="G25" s="98" t="n">
        <x:v>50.22958488014666</x:v>
      </x:c>
      <x:c r="H25" s="98" t="n">
        <x:v>15.042475183809024</x:v>
      </x:c>
      <x:c r="I25" s="98" t="n">
        <x:v>30.7812626310104</x:v>
      </x:c>
      <x:c r="J25" s="98" t="n">
        <x:v>52.04149886402898</x:v>
      </x:c>
      <x:c r="K25" s="4"/>
      <x:c r="L25" s="4"/>
    </x:row>
    <x:row r="26" ht="15.949999809265137">
      <x:c r="A26" s="6">
        <x:v>2023</x:v>
      </x:c>
      <x:c r="B26" s="107">
        <x:v>7</x:v>
      </x:c>
      <x:c r="C26" s="4"/>
      <x:c r="D26" s="6">
        <x:v>2052</x:v>
      </x:c>
      <x:c r="E26" s="98" t="n">
        <x:v>10.87013427875354</x:v>
      </x:c>
      <x:c r="F26" s="98" t="n">
        <x:v>26.58972565981022</x:v>
      </x:c>
      <x:c r="G26" s="98" t="n">
        <x:v>40.41235062034546</x:v>
      </x:c>
      <x:c r="H26" s="98" t="n">
        <x:v>19.178122164549006</x:v>
      </x:c>
      <x:c r="I26" s="98" t="n">
        <x:v>33.15516835330122</x:v>
      </x:c>
      <x:c r="J26" s="98" t="n">
        <x:v>43.1824125866646</x:v>
      </x:c>
      <x:c r="K26" s="4"/>
      <x:c r="L26" s="4"/>
    </x:row>
    <x:row r="27" ht="15.949999809265137">
      <x:c r="A27" s="6">
        <x:v>2024</x:v>
      </x:c>
      <x:c r="B27" s="107">
        <x:v>9</x:v>
      </x:c>
      <x:c r="C27" s="4"/>
      <x:c r="D27" s="6">
        <x:v>2053</x:v>
      </x:c>
      <x:c r="E27" s="98" t="n">
        <x:v>8.072605822585706</x:v>
      </x:c>
      <x:c r="F27" s="98" t="n">
        <x:v>25.958852341539874</x:v>
      </x:c>
      <x:c r="G27" s="98" t="n">
        <x:v>31.701865568785667</x:v>
      </x:c>
      <x:c r="H27" s="98" t="n">
        <x:v>22.598489034371354</x:v>
      </x:c>
      <x:c r="I27" s="98" t="n">
        <x:v>33.4086803484335</x:v>
      </x:c>
      <x:c r="J27" s="98" t="n">
        <x:v>52.46196077940386</x:v>
      </x:c>
      <x:c r="K27" s="4"/>
      <x:c r="L27" s="4"/>
    </x:row>
    <x:row r="28" ht="15.949999809265137">
      <x:c r="B28" s="108"/>
      <x:c r="D28" s="6">
        <x:v>2054</x:v>
      </x:c>
      <x:c r="E28" s="98" t="n">
        <x:v>13.562125642499208</x:v>
      </x:c>
      <x:c r="F28" s="98" t="n">
        <x:v>19.25519631654636</x:v>
      </x:c>
      <x:c r="G28" s="98" t="n">
        <x:v>48.31848681807109</x:v>
      </x:c>
      <x:c r="H28" s="98" t="n">
        <x:v>13.016950914588312</x:v>
      </x:c>
      <x:c r="I28" s="98" t="n">
        <x:v>25.375505960215513</x:v>
      </x:c>
      <x:c r="J28" s="98" t="n">
        <x:v>48.64810369601124</x:v>
      </x:c>
    </x:row>
    <x:row r="29" ht="15.949999809265137">
      <x:c r="B29" s="108"/>
      <x:c r="D29" s="6">
        <x:v>2055</x:v>
      </x:c>
      <x:c r="E29" s="98" t="n">
        <x:v>14.342792433222014</x:v>
      </x:c>
      <x:c r="F29" s="98" t="n">
        <x:v>21.141278881885164</x:v>
      </x:c>
      <x:c r="G29" s="98" t="n">
        <x:v>29.70685183169756</x:v>
      </x:c>
      <x:c r="H29" s="98" t="n">
        <x:v>15.847982373640928</x:v>
      </x:c>
      <x:c r="I29" s="98" t="n">
        <x:v>26.22056104220719</x:v>
      </x:c>
      <x:c r="J29" s="98" t="n">
        <x:v>45.2749734764654</x:v>
      </x:c>
    </x:row>
    <x:row r="30" ht="15.949999809265137">
      <x:c r="B30" s="108"/>
      <x:c r="D30" s="6">
        <x:v>2056</x:v>
      </x:c>
      <x:c r="E30" s="98" t="n">
        <x:v>10.956614860880281</x:v>
      </x:c>
      <x:c r="F30" s="98" t="n">
        <x:v>23.05047530692534</x:v>
      </x:c>
      <x:c r="G30" s="98" t="n">
        <x:v>44.67998392263948</x:v>
      </x:c>
      <x:c r="H30" s="98" t="n">
        <x:v>17.53811855553912</x:v>
      </x:c>
      <x:c r="I30" s="98" t="n">
        <x:v>35.309868639128666</x:v>
      </x:c>
      <x:c r="J30" s="98" t="n">
        <x:v>50.46517841944516</x:v>
      </x:c>
    </x:row>
    <x:row r="31" ht="15.949999809265137">
      <x:c r="B31" s="108"/>
      <x:c r="D31" s="6">
        <x:v>2057</x:v>
      </x:c>
      <x:c r="E31" s="98" t="n">
        <x:v>8.583004886968595</x:v>
      </x:c>
      <x:c r="F31" s="98" t="n">
        <x:v>26.90661202570734</x:v>
      </x:c>
      <x:c r="G31" s="98" t="n">
        <x:v>37.64203629976289</x:v>
      </x:c>
      <x:c r="H31" s="98" t="n">
        <x:v>21.12351923361827</x:v>
      </x:c>
      <x:c r="I31" s="98" t="n">
        <x:v>29.143149258764026</x:v>
      </x:c>
      <x:c r="J31" s="98" t="n">
        <x:v>42.73197905438891</x:v>
      </x:c>
    </x:row>
    <x:row r="32" ht="15.949999809265137">
      <x:c r="D32" s="6">
        <x:v>2058</x:v>
      </x:c>
      <x:c r="E32" s="98" t="n">
        <x:v>15.306536628070836</x:v>
      </x:c>
      <x:c r="F32" s="98" t="n">
        <x:v>30.77245333025845</x:v>
      </x:c>
      <x:c r="G32" s="98" t="n">
        <x:v>43.1865952152603</x:v>
      </x:c>
      <x:c r="H32" s="98" t="n">
        <x:v>14.276837917380279</x:v>
      </x:c>
      <x:c r="I32" s="98" t="n">
        <x:v>31.305637767462123</x:v>
      </x:c>
      <x:c r="J32" s="98" t="n">
        <x:v>48.854773488352926</x:v>
      </x:c>
    </x:row>
    <x:row r="33" ht="15.949999809265137">
      <x:c r="D33" s="6">
        <x:v>2059</x:v>
      </x:c>
      <x:c r="E33" s="98" t="n">
        <x:v>18.590306436029408</x:v>
      </x:c>
      <x:c r="F33" s="98" t="n">
        <x:v>38.65141938955055</x:v>
      </x:c>
      <x:c r="G33" s="98" t="n">
        <x:v>50.58920878746537</x:v>
      </x:c>
      <x:c r="H33" s="98" t="n">
        <x:v>8.328934179373801</x:v>
      </x:c>
      <x:c r="I33" s="98" t="n">
        <x:v>27.08720470795538</x:v>
      </x:c>
      <x:c r="J33" s="98" t="n">
        <x:v>39.1443945313205</x:v>
      </x:c>
    </x:row>
    <x:row r="34" ht="15.949999809265137">
      <x:c r="D34" s="6">
        <x:v>2060</x:v>
      </x:c>
      <x:c r="E34" s="98" t="n">
        <x:v>12.920196798821497</x:v>
      </x:c>
      <x:c r="F34" s="98" t="n">
        <x:v>29.75519873947416</x:v>
      </x:c>
      <x:c r="G34" s="98" t="n">
        <x:v>54.49007003918474</x:v>
      </x:c>
      <x:c r="H34" s="98" t="n">
        <x:v>19.80222556879709</x:v>
      </x:c>
      <x:c r="I34" s="98" t="n">
        <x:v>26.280883880284506</x:v>
      </x:c>
      <x:c r="J34" s="98" t="n">
        <x:v>52.38112642844251</x:v>
      </x:c>
    </x:row>
    <x:row r="35" ht="15.949999809265137">
      <x:c r="D35" s="6">
        <x:v>2061</x:v>
      </x:c>
      <x:c r="E35" s="98" t="n">
        <x:v>15.739992278439754</x:v>
      </x:c>
      <x:c r="F35" s="98" t="n">
        <x:v>26.017673991173766</x:v>
      </x:c>
      <x:c r="G35" s="98" t="n">
        <x:v>44.441523239180114</x:v>
      </x:c>
      <x:c r="H35" s="98" t="n">
        <x:v>14.424647534769957</x:v>
      </x:c>
      <x:c r="I35" s="98" t="n">
        <x:v>34.514957444135916</x:v>
      </x:c>
      <x:c r="J35" s="98" t="n">
        <x:v>49.104278717754354</x:v>
      </x:c>
    </x:row>
    <x:row r="36" ht="15.949999809265137">
      <x:c r="D36" s="6">
        <x:v>2062</x:v>
      </x:c>
      <x:c r="E36" s="98" t="n">
        <x:v>17.760605807853054</x:v>
      </x:c>
      <x:c r="F36" s="98" t="n">
        <x:v>27.22347083448006</x:v>
      </x:c>
      <x:c r="G36" s="98" t="n">
        <x:v>49.66513580532095</x:v>
      </x:c>
      <x:c r="H36" s="98" t="n">
        <x:v>8.877654200742295</x:v>
      </x:c>
      <x:c r="I36" s="98" t="n">
        <x:v>35.98813737220055</x:v>
      </x:c>
      <x:c r="J36" s="98" t="n">
        <x:v>45.61120375855409</x:v>
      </x:c>
    </x:row>
    <x:row r="37" ht="15.949999809265137">
      <x:c r="D37" s="6">
        <x:v>2063</x:v>
      </x:c>
      <x:c r="E37" s="98" t="n">
        <x:v>17.08273175869088</x:v>
      </x:c>
      <x:c r="F37" s="98" t="n">
        <x:v>29.40756394732034</x:v>
      </x:c>
      <x:c r="G37" s="98" t="n">
        <x:v>41.53570831426118</x:v>
      </x:c>
      <x:c r="H37" s="98" t="n">
        <x:v>10.692196803101801</x:v>
      </x:c>
      <x:c r="I37" s="98" t="n">
        <x:v>32.7173400163283</x:v>
      </x:c>
      <x:c r="J37" s="98" t="n">
        <x:v>50.24835848591268</x:v>
      </x:c>
    </x:row>
    <x:row r="38" ht="15.949999809265137">
      <x:c r="D38" s="6">
        <x:v>2064</x:v>
      </x:c>
      <x:c r="E38" s="98" t="n">
        <x:v>12.835489677718666</x:v>
      </x:c>
      <x:c r="F38" s="98" t="n">
        <x:v>25.239244904296406</x:v>
      </x:c>
      <x:c r="G38" s="98" t="n">
        <x:v>42.174570497343105</x:v>
      </x:c>
      <x:c r="H38" s="98" t="n">
        <x:v>16.366900966638323</x:v>
      </x:c>
      <x:c r="I38" s="98" t="n">
        <x:v>29.665830819957506</x:v>
      </x:c>
      <x:c r="J38" s="98" t="n">
        <x:v>48.411238419862585</x:v>
      </x:c>
    </x:row>
    <x:row r="39" ht="15.949999809265137">
      <x:c r="D39" s="6">
        <x:v>2065</x:v>
      </x:c>
      <x:c r="E39" s="98" t="n">
        <x:v>9.928039334285351</x:v>
      </x:c>
      <x:c r="F39" s="98" t="n">
        <x:v>33.38043894728179</x:v>
      </x:c>
      <x:c r="G39" s="98" t="n">
        <x:v>46.710686791396284</x:v>
      </x:c>
      <x:c r="H39" s="98" t="n">
        <x:v>16.74279648320074</x:v>
      </x:c>
      <x:c r="I39" s="98" t="n">
        <x:v>31.04695665426925</x:v>
      </x:c>
      <x:c r="J39" s="98" t="n">
        <x:v>46.96119628146364</x:v>
      </x:c>
    </x:row>
    <x:row r="40" ht="15.949999809265137">
      <x:c r="D40" s="6">
        <x:v>2066</x:v>
      </x:c>
      <x:c r="E40" s="98" t="n">
        <x:v>8.615592634034892</x:v>
      </x:c>
      <x:c r="F40" s="98" t="n">
        <x:v>30.506818961138737</x:v>
      </x:c>
      <x:c r="G40" s="98" t="n">
        <x:v>45.70576829270098</x:v>
      </x:c>
      <x:c r="H40" s="98" t="n">
        <x:v>21.429651661649014</x:v>
      </x:c>
      <x:c r="I40" s="98" t="n">
        <x:v>30.729410866711575</x:v>
      </x:c>
      <x:c r="J40" s="98" t="n">
        <x:v>52.278483824623734</x:v>
      </x:c>
    </x:row>
    <x:row r="41" ht="15.949999809265137">
      <x:c r="D41" s="6">
        <x:v>2067</x:v>
      </x:c>
      <x:c r="E41" s="98" t="n">
        <x:v>6.569963462465182</x:v>
      </x:c>
      <x:c r="F41" s="98" t="n">
        <x:v>25.89524851916551</x:v>
      </x:c>
      <x:c r="G41" s="98" t="n">
        <x:v>42.72222169447391</x:v>
      </x:c>
      <x:c r="H41" s="98" t="n">
        <x:v>24.28795685752281</x:v>
      </x:c>
      <x:c r="I41" s="98" t="n">
        <x:v>37.41747662338412</x:v>
      </x:c>
      <x:c r="J41" s="98" t="n">
        <x:v>48.76834914230422</x:v>
      </x:c>
    </x:row>
    <x:row r="42" ht="15.949999809265137">
      <x:c r="D42" s="6">
        <x:v>2068</x:v>
      </x:c>
      <x:c r="E42" s="98" t="n">
        <x:v>5.134887648377716</x:v>
      </x:c>
      <x:c r="F42" s="98" t="n">
        <x:v>20.400239829301967</x:v>
      </x:c>
      <x:c r="G42" s="98" t="n">
        <x:v>29.736715673407797</x:v>
      </x:c>
      <x:c r="H42" s="98" t="n">
        <x:v>17.400528060436496</x:v>
      </x:c>
      <x:c r="I42" s="98" t="n">
        <x:v>32.18525009010926</x:v>
      </x:c>
      <x:c r="J42" s="98" t="n">
        <x:v>44.58543779715436</x:v>
      </x:c>
    </x:row>
    <x:row r="43" ht="15.949999809265137">
      <x:c r="D43" s="6">
        <x:v>2069</x:v>
      </x:c>
      <x:c r="E43" s="98" t="n">
        <x:v>13.92765064500212</x:v>
      </x:c>
      <x:c r="F43" s="98" t="n">
        <x:v>32.55645882394307</x:v>
      </x:c>
      <x:c r="G43" s="98" t="n">
        <x:v>48.24231670909267</x:v>
      </x:c>
      <x:c r="H43" s="98" t="n">
        <x:v>18.273380224376616</x:v>
      </x:c>
      <x:c r="I43" s="98" t="n">
        <x:v>33.65202525605541</x:v>
      </x:c>
      <x:c r="J43" s="98" t="n">
        <x:v>47.93696653569356</x:v>
      </x:c>
    </x:row>
    <x:row r="44" ht="15.949999809265137">
      <x:c r="D44" s="6">
        <x:v>2070</x:v>
      </x:c>
      <x:c r="E44" s="98" t="n">
        <x:v>19.538019511606333</x:v>
      </x:c>
      <x:c r="F44" s="98" t="n">
        <x:v>31.310664049607748</x:v>
      </x:c>
      <x:c r="G44" s="98" t="n">
        <x:v>40.853479272672196</x:v>
      </x:c>
      <x:c r="H44" s="98" t="n">
        <x:v>13.77951287073419</x:v>
      </x:c>
      <x:c r="I44" s="98" t="n">
        <x:v>24.407112848726594</x:v>
      </x:c>
      <x:c r="J44" s="98" t="n">
        <x:v>50.99996067316944</x:v>
      </x:c>
    </x:row>
    <x:row r="45" ht="15.949999809265137">
      <x:c r="D45" s="6">
        <x:v>2071</x:v>
      </x:c>
      <x:c r="E45" s="98" t="n">
        <x:v>12.236131104890603</x:v>
      </x:c>
      <x:c r="F45" s="98" t="n">
        <x:v>23.89975447116661</x:v>
      </x:c>
      <x:c r="G45" s="98" t="n">
        <x:v>42.04444312288191</x:v>
      </x:c>
      <x:c r="H45" s="98" t="n">
        <x:v>16.774577035745864</x:v>
      </x:c>
      <x:c r="I45" s="98" t="n">
        <x:v>33.37860060987225</x:v>
      </x:c>
      <x:c r="J45" s="98" t="n">
        <x:v>45.9709153593811</x:v>
      </x:c>
    </x:row>
    <x:row r="46" ht="15.949999809265137">
      <x:c r="D46" s="6">
        <x:v>2072</x:v>
      </x:c>
      <x:c r="E46" s="98" t="n">
        <x:v>12.775115490434109</x:v>
      </x:c>
      <x:c r="F46" s="98" t="n">
        <x:v>19.26427722808992</x:v>
      </x:c>
      <x:c r="G46" s="98" t="n">
        <x:v>35.2540938292395</x:v>
      </x:c>
      <x:c r="H46" s="98" t="n">
        <x:v>27.336811260809306</x:v>
      </x:c>
      <x:c r="I46" s="98" t="n">
        <x:v>43.176691921531074</x:v>
      </x:c>
      <x:c r="J46" s="98" t="n">
        <x:v>61.410510796308444</x:v>
      </x:c>
    </x:row>
    <x:row r="47" ht="15.949999809265137">
      <x:c r="D47" s="6">
        <x:v>2073</x:v>
      </x:c>
      <x:c r="E47" s="98" t="n">
        <x:v>17.93039043369862</x:v>
      </x:c>
      <x:c r="F47" s="98" t="n">
        <x:v>30.58788355131828</x:v>
      </x:c>
      <x:c r="G47" s="98" t="n">
        <x:v>43.41437858571991</x:v>
      </x:c>
      <x:c r="H47" s="98" t="n">
        <x:v>19.393687090600594</x:v>
      </x:c>
      <x:c r="I47" s="98" t="n">
        <x:v>35.719507777531504</x:v>
      </x:c>
      <x:c r="J47" s="98" t="n">
        <x:v>47.17607100864315</x:v>
      </x:c>
    </x:row>
    <x:row r="48" ht="15.949999809265137">
      <x:c r="D48" s="6">
        <x:v>2074</x:v>
      </x:c>
      <x:c r="E48" s="98" t="n">
        <x:v>14.69639148915779</x:v>
      </x:c>
      <x:c r="F48" s="98" t="n">
        <x:v>29.54098990981533</x:v>
      </x:c>
      <x:c r="G48" s="98" t="n">
        <x:v>42.1758436671037</x:v>
      </x:c>
      <x:c r="H48" s="98" t="n">
        <x:v>21.33280607253844</x:v>
      </x:c>
      <x:c r="I48" s="98" t="n">
        <x:v>39.277408883857035</x:v>
      </x:c>
      <x:c r="J48" s="98" t="n">
        <x:v>47.934111477639675</x:v>
      </x:c>
    </x:row>
    <x:row r="49" ht="15.949999809265137">
      <x:c r="D49" s="6">
        <x:v>2075</x:v>
      </x:c>
      <x:c r="E49" s="98" t="n">
        <x:v>12.83245341187994</x:v>
      </x:c>
      <x:c r="F49" s="98" t="n">
        <x:v>26.847158231761895</x:v>
      </x:c>
      <x:c r="G49" s="98" t="n">
        <x:v>45.56308549116792</x:v>
      </x:c>
      <x:c r="H49" s="98" t="n">
        <x:v>20.000122419085194</x:v>
      </x:c>
      <x:c r="I49" s="98" t="n">
        <x:v>28.25387865260935</x:v>
      </x:c>
      <x:c r="J49" s="98" t="n">
        <x:v>37.51637553179067</x:v>
      </x:c>
    </x:row>
    <x:row r="50" ht="15.949999809265137">
      <x:c r="D50" s="6">
        <x:v>2076</x:v>
      </x:c>
      <x:c r="E50" s="98" t="n">
        <x:v>19.115474024241628</x:v>
      </x:c>
      <x:c r="F50" s="98" t="n">
        <x:v>27.249868131316518</x:v>
      </x:c>
      <x:c r="G50" s="98" t="n">
        <x:v>43.89832806591136</x:v>
      </x:c>
      <x:c r="H50" s="98" t="n">
        <x:v>19.47553926189977</x:v>
      </x:c>
      <x:c r="I50" s="98" t="n">
        <x:v>33.2389614276341</x:v>
      </x:c>
      <x:c r="J50" s="98" t="n">
        <x:v>59.53834366679291</x:v>
      </x:c>
    </x:row>
    <x:row r="51" ht="15.949999809265137">
      <x:c r="D51" s="6">
        <x:v>2077</x:v>
      </x:c>
      <x:c r="E51" s="98" t="n">
        <x:v>19.123109207866065</x:v>
      </x:c>
      <x:c r="F51" s="98" t="n">
        <x:v>35.59522382794651</x:v>
      </x:c>
      <x:c r="G51" s="98" t="n">
        <x:v>49.1642872002077</x:v>
      </x:c>
      <x:c r="H51" s="98" t="n">
        <x:v>13.24970459928048</x:v>
      </x:c>
      <x:c r="I51" s="98" t="n">
        <x:v>27.537063498161352</x:v>
      </x:c>
      <x:c r="J51" s="98" t="n">
        <x:v>39.38105446065755</x:v>
      </x:c>
    </x:row>
    <x:row r="52" ht="15.949999809265137">
      <x:c r="D52" s="6">
        <x:v>2078</x:v>
      </x:c>
      <x:c r="E52" s="98" t="n">
        <x:v>9.90862920170282</x:v>
      </x:c>
      <x:c r="F52" s="98" t="n">
        <x:v>28.18446300325821</x:v>
      </x:c>
      <x:c r="G52" s="98" t="n">
        <x:v>42.455293662916816</x:v>
      </x:c>
      <x:c r="H52" s="98" t="n">
        <x:v>15.395528627546254</x:v>
      </x:c>
      <x:c r="I52" s="98" t="n">
        <x:v>33.58773562520572</x:v>
      </x:c>
      <x:c r="J52" s="98" t="n">
        <x:v>50.30368028771414</x:v>
      </x:c>
    </x:row>
    <x:row r="53" ht="15.949999809265137">
      <x:c r="D53" s="6">
        <x:v>2079</x:v>
      </x:c>
      <x:c r="E53" s="98" t="n">
        <x:v>15.240057307042633</x:v>
      </x:c>
      <x:c r="F53" s="98" t="n">
        <x:v>22.721821177200894</x:v>
      </x:c>
      <x:c r="G53" s="98" t="n">
        <x:v>38.18617241882714</x:v>
      </x:c>
      <x:c r="H53" s="98" t="n">
        <x:v>18.867949047248796</x:v>
      </x:c>
      <x:c r="I53" s="98" t="n">
        <x:v>44.254583236362635</x:v>
      </x:c>
      <x:c r="J53" s="98" t="n">
        <x:v>56.1343074894917</x:v>
      </x:c>
    </x:row>
    <x:row r="54" ht="15.949999809265137">
      <x:c r="D54" s="6">
        <x:v>2080</x:v>
      </x:c>
      <x:c r="E54" s="98" t="n">
        <x:v>22.441058287812787</x:v>
      </x:c>
      <x:c r="F54" s="98" t="n">
        <x:v>32.67681427379311</x:v>
      </x:c>
      <x:c r="G54" s="98" t="n">
        <x:v>50.535327546333534</x:v>
      </x:c>
      <x:c r="H54" s="98" t="n">
        <x:v>19.888776378277235</x:v>
      </x:c>
      <x:c r="I54" s="98" t="n">
        <x:v>35.89083663196949</x:v>
      </x:c>
      <x:c r="J54" s="98" t="n">
        <x:v>56.773073593424236</x:v>
      </x:c>
    </x:row>
    <x:row r="55" ht="15.949999809265137">
      <x:c r="D55" s="6">
        <x:v>2081</x:v>
      </x:c>
      <x:c r="E55" s="98" t="n">
        <x:v>26.59198147763675</x:v>
      </x:c>
      <x:c r="F55" s="98" t="n">
        <x:v>39.49857513854123</x:v>
      </x:c>
      <x:c r="G55" s="98" t="n">
        <x:v>49.78983404524065</x:v>
      </x:c>
      <x:c r="H55" s="98" t="n">
        <x:v>25.69876154862822</x:v>
      </x:c>
      <x:c r="I55" s="98" t="n">
        <x:v>38.16047176218834</x:v>
      </x:c>
      <x:c r="J55" s="98" t="n">
        <x:v>59.69711305218259</x:v>
      </x:c>
    </x:row>
    <x:row r="56" ht="15.949999809265137">
      <x:c r="D56" s="6">
        <x:v>2082</x:v>
      </x:c>
      <x:c r="E56" s="98" t="n">
        <x:v>16.704485094294096</x:v>
      </x:c>
      <x:c r="F56" s="98" t="n">
        <x:v>34.81667691401668</x:v>
      </x:c>
      <x:c r="G56" s="98" t="n">
        <x:v>47.40718400747737</x:v>
      </x:c>
      <x:c r="H56" s="98" t="n">
        <x:v>20.89218225014206</x:v>
      </x:c>
      <x:c r="I56" s="98" t="n">
        <x:v>34.259936293813816</x:v>
      </x:c>
      <x:c r="J56" s="98" t="n">
        <x:v>46.23986965528267</x:v>
      </x:c>
    </x:row>
    <x:row r="57" ht="15.949999809265137">
      <x:c r="D57" s="6">
        <x:v>2083</x:v>
      </x:c>
      <x:c r="E57" s="98" t="n">
        <x:v>19.07710375626945</x:v>
      </x:c>
      <x:c r="F57" s="98" t="n">
        <x:v>34.67390719474177</x:v>
      </x:c>
      <x:c r="G57" s="98" t="n">
        <x:v>59.819028613757126</x:v>
      </x:c>
      <x:c r="H57" s="98" t="n">
        <x:v>24.334029734760104</x:v>
      </x:c>
      <x:c r="I57" s="98" t="n">
        <x:v>37.41587937694395</x:v>
      </x:c>
      <x:c r="J57" s="98" t="n">
        <x:v>48.939838780246674</x:v>
      </x:c>
    </x:row>
    <x:row r="58" ht="15.949999809265137">
      <x:c r="D58" s="6">
        <x:v>2084</x:v>
      </x:c>
      <x:c r="E58" s="98" t="n">
        <x:v>22.26057301946306</x:v>
      </x:c>
      <x:c r="F58" s="98" t="n">
        <x:v>29.152427218151594</x:v>
      </x:c>
      <x:c r="G58" s="98" t="n">
        <x:v>40.94096602840446</x:v>
      </x:c>
      <x:c r="H58" s="98" t="n">
        <x:v>21.7549809131448</x:v>
      </x:c>
      <x:c r="I58" s="98" t="n">
        <x:v>33.92829801368238</x:v>
      </x:c>
      <x:c r="J58" s="98" t="n">
        <x:v>54.959483969730044</x:v>
      </x:c>
    </x:row>
    <x:row r="59" ht="15.949999809265137">
      <x:c r="D59" s="6">
        <x:v>2085</x:v>
      </x:c>
      <x:c r="E59" s="98" t="n">
        <x:v>17.873540484572008</x:v>
      </x:c>
      <x:c r="F59" s="98" t="n">
        <x:v>29.805094072772953</x:v>
      </x:c>
      <x:c r="G59" s="98" t="n">
        <x:v>39.44121926692945</x:v>
      </x:c>
      <x:c r="H59" s="98" t="n">
        <x:v>15.595579909330114</x:v>
      </x:c>
      <x:c r="I59" s="98" t="n">
        <x:v>37.306712892094595</x:v>
      </x:c>
      <x:c r="J59" s="98" t="n">
        <x:v>63.03001949319587</x:v>
      </x:c>
    </x:row>
    <x:row r="60" ht="15.949999809265137">
      <x:c r="D60" s="6">
        <x:v>2086</x:v>
      </x:c>
      <x:c r="E60" s="98" t="n">
        <x:v>24.17651728696513</x:v>
      </x:c>
      <x:c r="F60" s="98" t="n">
        <x:v>39.51394355772422</x:v>
      </x:c>
      <x:c r="G60" s="98" t="n">
        <x:v>44.40435514751812</x:v>
      </x:c>
      <x:c r="H60" s="98" t="n">
        <x:v>18.541715733224386</x:v>
      </x:c>
      <x:c r="I60" s="98" t="n">
        <x:v>34.50142491235418</x:v>
      </x:c>
      <x:c r="J60" s="98" t="n">
        <x:v>46.995580922161366</x:v>
      </x:c>
    </x:row>
    <x:row r="61" ht="15.949999809265137">
      <x:c r="D61" s="6">
        <x:v>2087</x:v>
      </x:c>
      <x:c r="E61" s="98" t="n">
        <x:v>22.563988000872627</x:v>
      </x:c>
      <x:c r="F61" s="98" t="n">
        <x:v>38.6410796491997</x:v>
      </x:c>
      <x:c r="G61" s="98" t="n">
        <x:v>51.89956069169684</x:v>
      </x:c>
      <x:c r="H61" s="98" t="n">
        <x:v>20.358719737930898</x:v>
      </x:c>
      <x:c r="I61" s="98" t="n">
        <x:v>34.02898236794948</x:v>
      </x:c>
      <x:c r="J61" s="98" t="n">
        <x:v>52.29911658151074</x:v>
      </x:c>
    </x:row>
    <x:row r="62" ht="15.949999809265137">
      <x:c r="D62" s="6">
        <x:v>2088</x:v>
      </x:c>
      <x:c r="E62" s="98" t="n">
        <x:v>21.698116830195</x:v>
      </x:c>
      <x:c r="F62" s="98" t="n">
        <x:v>34.06524245407486</x:v>
      </x:c>
      <x:c r="G62" s="98" t="n">
        <x:v>42.1468768984847</x:v>
      </x:c>
      <x:c r="H62" s="98" t="n">
        <x:v>26.06581184108174</x:v>
      </x:c>
      <x:c r="I62" s="98" t="n">
        <x:v>32.00208734104991</x:v>
      </x:c>
      <x:c r="J62" s="98" t="n">
        <x:v>49.5617890140106</x:v>
      </x:c>
    </x:row>
    <x:row r="63" ht="15.949999809265137">
      <x:c r="D63" s="6">
        <x:v>2089</x:v>
      </x:c>
      <x:c r="E63" s="98" t="n">
        <x:v>14.60037343557946</x:v>
      </x:c>
      <x:c r="F63" s="98" t="n">
        <x:v>30.55815506703876</x:v>
      </x:c>
      <x:c r="G63" s="98" t="n">
        <x:v>36.5012734896286</x:v>
      </x:c>
      <x:c r="H63" s="98" t="n">
        <x:v>20.127723885167278</x:v>
      </x:c>
      <x:c r="I63" s="98" t="n">
        <x:v>41.61593033646403</x:v>
      </x:c>
      <x:c r="J63" s="98" t="n">
        <x:v>69.04668447097495</x:v>
      </x:c>
    </x:row>
    <x:row r="64" ht="15.949999809265137">
      <x:c r="D64" s="6">
        <x:v>2090</x:v>
      </x:c>
      <x:c r="E64" s="98" t="n">
        <x:v>18.263448204388304</x:v>
      </x:c>
      <x:c r="F64" s="98" t="n">
        <x:v>26.369981085483854</x:v>
      </x:c>
      <x:c r="G64" s="98" t="n">
        <x:v>46.60168397421022</x:v>
      </x:c>
      <x:c r="H64" s="98" t="n">
        <x:v>17.41662832784864</x:v>
      </x:c>
      <x:c r="I64" s="98" t="n">
        <x:v>39.87968011692708</x:v>
      </x:c>
      <x:c r="J64" s="98" t="n">
        <x:v>67.43823563306616</x:v>
      </x:c>
    </x:row>
    <x:row r="65" ht="15.949999809265137">
      <x:c r="D65" s="6">
        <x:v>2091</x:v>
      </x:c>
      <x:c r="E65" s="98" t="n">
        <x:v>24.844621536403697</x:v>
      </x:c>
      <x:c r="F65" s="99" t="n">
        <x:v>34.17382566148646</x:v>
      </x:c>
      <x:c r="G65" s="99" t="n">
        <x:v>46.8793347284065</x:v>
      </x:c>
      <x:c r="H65" s="99" t="n">
        <x:v>20.264619602563943</x:v>
      </x:c>
      <x:c r="I65" s="99" t="n">
        <x:v>41.999637292747906</x:v>
      </x:c>
      <x:c r="J65" s="99" t="n">
        <x:v>63.366538793418506</x:v>
      </x:c>
    </x:row>
    <x:row r="66" ht="15.949999809265137">
      <x:c r="D66" s="6">
        <x:v>2092</x:v>
      </x:c>
      <x:c r="E66" s="98" t="n">
        <x:v>18.297386866104738</x:v>
      </x:c>
      <x:c r="F66" s="99" t="n">
        <x:v>30.27981429998169</x:v>
      </x:c>
      <x:c r="G66" s="99" t="n">
        <x:v>44.71215580985377</x:v>
      </x:c>
      <x:c r="H66" s="99" t="n">
        <x:v>13.184167099056053</x:v>
      </x:c>
      <x:c r="I66" s="99" t="n">
        <x:v>36.88017506426629</x:v>
      </x:c>
      <x:c r="J66" s="99" t="n">
        <x:v>51.06428718135366</x:v>
      </x:c>
    </x:row>
    <x:row r="67" ht="15.949999809265137">
      <x:c r="D67" s="6">
        <x:v>2093</x:v>
      </x:c>
      <x:c r="E67" s="98" t="n">
        <x:v>16.55250077973001</x:v>
      </x:c>
      <x:c r="F67" s="99" t="n">
        <x:v>31.19271993095054</x:v>
      </x:c>
      <x:c r="G67" s="99" t="n">
        <x:v>47.77477522225157</x:v>
      </x:c>
      <x:c r="H67" s="99" t="n">
        <x:v>23.7084027606513</x:v>
      </x:c>
      <x:c r="I67" s="99" t="n">
        <x:v>47.6305999770821</x:v>
      </x:c>
      <x:c r="J67" s="99" t="n">
        <x:v>59.19256118072398</x:v>
      </x:c>
    </x:row>
    <x:row r="68" ht="15.949999809265137">
      <x:c r="D68" s="6">
        <x:v>2094</x:v>
      </x:c>
      <x:c r="E68" s="98" t="n">
        <x:v>19.953838226602702</x:v>
      </x:c>
      <x:c r="F68" s="99" t="n">
        <x:v>31.7834986227545</x:v>
      </x:c>
      <x:c r="G68" s="99" t="n">
        <x:v>54.86392662110871</x:v>
      </x:c>
      <x:c r="H68" s="99" t="n">
        <x:v>37.08222736569622</x:v>
      </x:c>
      <x:c r="I68" s="99" t="n">
        <x:v>52.96450639260726</x:v>
      </x:c>
      <x:c r="J68" s="99" t="n">
        <x:v>65.41347688252006</x:v>
      </x:c>
    </x:row>
    <x:row r="69" ht="15.949999809265137">
      <x:c r="D69" s="6">
        <x:v>2095</x:v>
      </x:c>
      <x:c r="E69" s="98" t="n">
        <x:v>18.0167105598359</x:v>
      </x:c>
      <x:c r="F69" s="99" t="n">
        <x:v>29.470143170270163</x:v>
      </x:c>
      <x:c r="G69" s="99" t="n">
        <x:v>37.009457532731496</x:v>
      </x:c>
      <x:c r="H69" s="99" t="n">
        <x:v>22.520257140386764</x:v>
      </x:c>
      <x:c r="I69" s="99" t="n">
        <x:v>46.0839821832604</x:v>
      </x:c>
      <x:c r="J69" s="99" t="n">
        <x:v>68.57537697990941</x:v>
      </x:c>
    </x:row>
    <x:row r="70" ht="15.949999809265137">
      <x:c r="D70" s="6">
        <x:v>2096</x:v>
      </x:c>
      <x:c r="E70" s="98" t="n">
        <x:v>19.756544916446593</x:v>
      </x:c>
      <x:c r="F70" s="99" t="n">
        <x:v>32.49797700283155</x:v>
      </x:c>
      <x:c r="G70" s="99" t="n">
        <x:v>53.10199344309563</x:v>
      </x:c>
      <x:c r="H70" s="99" t="n">
        <x:v>20.07882500585805</x:v>
      </x:c>
      <x:c r="I70" s="99" t="n">
        <x:v>45.05417267783163</x:v>
      </x:c>
      <x:c r="J70" s="99" t="n">
        <x:v>69.09081159920841</x:v>
      </x:c>
    </x:row>
    <x:row r="71" ht="15.949999809265137">
      <x:c r="D71" s="6">
        <x:v>2097</x:v>
      </x:c>
      <x:c r="E71" s="98" t="n">
        <x:v>17.974638895872697</x:v>
      </x:c>
      <x:c r="F71" s="99" t="n">
        <x:v>38.643058988707494</x:v>
      </x:c>
      <x:c r="G71" s="99" t="n">
        <x:v>57.948260816790246</x:v>
      </x:c>
      <x:c r="H71" s="99" t="n">
        <x:v>25.652789437004458</x:v>
      </x:c>
      <x:c r="I71" s="99" t="n">
        <x:v>48.427934389566516</x:v>
      </x:c>
      <x:c r="J71" s="99" t="n">
        <x:v>69.51150131185398</x:v>
      </x:c>
    </x:row>
    <x:row r="72" ht="15.949999809265137">
      <x:c r="D72" s="6">
        <x:v>2098</x:v>
      </x:c>
      <x:c r="E72" s="98" t="n">
        <x:v>18.849165205771524</x:v>
      </x:c>
      <x:c r="F72" s="99" t="n">
        <x:v>38.231137809441904</x:v>
      </x:c>
      <x:c r="G72" s="99" t="n">
        <x:v>48.84621778213961</x:v>
      </x:c>
      <x:c r="H72" s="99" t="n">
        <x:v>34.591292944158</x:v>
      </x:c>
      <x:c r="I72" s="99" t="n">
        <x:v>47.77103886047604</x:v>
      </x:c>
      <x:c r="J72" s="99" t="n">
        <x:v>69.64153112529486</x:v>
      </x:c>
    </x:row>
    <x:row r="73" ht="15.949999809265137">
      <x:c r="D73" s="6">
        <x:v>2099</x:v>
      </x:c>
      <x:c r="E73" s="98" t="n">
        <x:v>12.059313043832052</x:v>
      </x:c>
      <x:c r="F73" s="99" t="n">
        <x:v>26.1132170222566</x:v>
      </x:c>
      <x:c r="G73" s="99" t="n">
        <x:v>52.34480764438183</x:v>
      </x:c>
      <x:c r="H73" s="99" t="n">
        <x:v>26.963561993381774</x:v>
      </x:c>
      <x:c r="I73" s="99" t="n">
        <x:v>41.1923604649283</x:v>
      </x:c>
      <x:c r="J73" s="99" t="n">
        <x:v>51.20161189875263</x:v>
      </x:c>
    </x:row>
  </x:sheetData>
  <x:mergeCells>
    <x:mergeCell ref="A2:O2"/>
    <x:mergeCell ref="M5:O5"/>
    <x:mergeCell ref="A3:B3"/>
    <x:mergeCell ref="A4:A6"/>
    <x:mergeCell ref="B4:B6"/>
    <x:mergeCell ref="C4:C6"/>
    <x:mergeCell ref="D4:I4"/>
    <x:mergeCell ref="J4:O4"/>
    <x:mergeCell ref="D3:O3"/>
    <x:mergeCell ref="D11:D13"/>
    <x:mergeCell ref="E11:J11"/>
    <x:mergeCell ref="E12:G12"/>
    <x:mergeCell ref="H12:J12"/>
    <x:mergeCell ref="J5:L5"/>
    <x:mergeCell ref="D5:F5"/>
    <x:mergeCell ref="G5:I5"/>
    <x:mergeCell ref="A7:A8"/>
    <x:mergeCell ref="B7:B8"/>
    <x:mergeCell ref="A10:B10"/>
    <x:mergeCell ref="C7:C8"/>
    <x:mergeCell ref="D10:J10"/>
  </x:mergeCells>
  <x:pageMargins left="0.7" right="0.7" top="0.75" bottom="0.75" header="0.3" footer="0.3"/>
  <x:legacyDrawing xmlns:r="http://schemas.openxmlformats.org/officeDocument/2006/relationships" r:id="Rb2a3a5d0e28940e9"/>
</x:worksheet>
</file>

<file path=xl/worksheets/sheet5.xml><?xml version="1.0" encoding="utf-8"?>
<x:worksheet xmlns:x="http://schemas.openxmlformats.org/spreadsheetml/2006/main">
  <x:sheetFormatPr defaultRowHeight="14.449999809265137"/>
  <x:cols>
    <x:col min="1" max="1" width="13.7109375" customWidth="1"/>
    <x:col min="2" max="2" width="18" customWidth="1"/>
    <x:col min="3" max="12" width="11.140625" customWidth="1"/>
  </x:cols>
  <x:sheetData>
    <x:row r="2" ht="15.949999809265137" customHeight="1">
      <x:c r="A2" s="85" t="s">
        <x:v>56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</x:row>
    <x:row r="3" ht="15.949999809265137" customHeight="1">
      <x:c r="A3" s="66" t="s">
        <x:v>11</x:v>
      </x:c>
      <x:c r="B3" s="72"/>
      <x:c r="C3" s="23" t="s">
        <x:v>20</x:v>
      </x:c>
      <x:c r="D3" s="48" t="s">
        <x:v>21</x:v>
      </x:c>
      <x:c r="E3" s="49"/>
      <x:c r="F3" s="49"/>
      <x:c r="G3" s="49"/>
      <x:c r="H3" s="49"/>
      <x:c r="I3" s="49"/>
      <x:c r="J3" s="49"/>
      <x:c r="K3" s="49"/>
      <x:c r="L3" s="49"/>
    </x:row>
    <x:row r="4" ht="15.949999809265137">
      <x:c r="A4" s="51" t="s">
        <x:v>22</x:v>
      </x:c>
      <x:c r="B4" s="54" t="s">
        <x:v>23</x:v>
      </x:c>
      <x:c r="C4" s="54" t="s">
        <x:v>57</x:v>
      </x:c>
      <x:c r="D4" s="57" t="s">
        <x:v>58</x:v>
      </x:c>
      <x:c r="E4" s="58"/>
      <x:c r="F4" s="59"/>
      <x:c r="G4" s="60" t="s">
        <x:v>59</x:v>
      </x:c>
      <x:c r="H4" s="61"/>
      <x:c r="I4" s="95"/>
      <x:c r="J4" s="96" t="s">
        <x:v>60</x:v>
      </x:c>
      <x:c r="K4" s="97"/>
      <x:c r="L4" s="97"/>
    </x:row>
    <x:row r="5" ht="15.949999809265137" customHeight="1">
      <x:c r="A5" s="52"/>
      <x:c r="B5" s="55"/>
      <x:c r="C5" s="55"/>
      <x:c r="D5" s="63"/>
      <x:c r="E5" s="63"/>
      <x:c r="F5" s="63"/>
      <x:c r="G5" s="37"/>
      <x:c r="H5" s="37"/>
      <x:c r="I5" s="37"/>
      <x:c r="J5" s="94"/>
      <x:c r="K5" s="94"/>
      <x:c r="L5" s="94"/>
    </x:row>
    <x:row r="6" ht="32.099998474121094">
      <x:c r="A6" s="53"/>
      <x:c r="B6" s="56"/>
      <x:c r="C6" s="56"/>
      <x:c r="D6" s="18" t="s">
        <x:v>29</x:v>
      </x:c>
      <x:c r="E6" s="18" t="s">
        <x:v>30</x:v>
      </x:c>
      <x:c r="F6" s="18" t="s">
        <x:v>31</x:v>
      </x:c>
      <x:c r="G6" s="19" t="s">
        <x:v>29</x:v>
      </x:c>
      <x:c r="H6" s="19" t="s">
        <x:v>30</x:v>
      </x:c>
      <x:c r="I6" s="19" t="s">
        <x:v>31</x:v>
      </x:c>
      <x:c r="J6" s="27" t="s">
        <x:v>29</x:v>
      </x:c>
      <x:c r="K6" s="27" t="s">
        <x:v>30</x:v>
      </x:c>
      <x:c r="L6" s="27" t="s">
        <x:v>31</x:v>
      </x:c>
    </x:row>
    <x:row r="7" ht="86.0999984741211" customHeight="1">
      <x:c r="A7" s="38" t="s">
        <x:v>32</x:v>
      </x:c>
      <x:c r="B7" s="38" t="s">
        <x:v>61</x:v>
      </x:c>
      <x:c r="C7" s="38" t="n">
        <x:f>E14</x:f>
        <x:v>31.8600631597808</x:v>
      </x:c>
      <x:c r="D7" s="2" t="n">
        <x:f>A14</x:f>
        <x:v>28.0142450846027</x:v>
      </x:c>
      <x:c r="E7" s="2" t="n">
        <x:f t="shared" ref="E7:F7" si="0">B14</x:f>
        <x:v>36.2319341432293</x:v>
      </x:c>
      <x:c r="F7" s="2">
        <x:f t="shared" si="0"/>
        <x:v>39.480535956504944</x:v>
      </x:c>
      <x:c r="G7" s="2" t="n">
        <x:f t="shared" ref="G7:L7" si="1">G14</x:f>
        <x:v>29.5714015621766</x:v>
      </x:c>
      <x:c r="H7" s="2">
        <x:f t="shared" si="1"/>
        <x:v>32.269719561009303</x:v>
      </x:c>
      <x:c r="I7" s="2">
        <x:f t="shared" si="1"/>
        <x:v>39.049686657091179</x:v>
      </x:c>
      <x:c r="J7" s="2">
        <x:f t="shared" si="1"/>
        <x:v>34.080321926013319</x:v>
      </x:c>
      <x:c r="K7" s="2">
        <x:f t="shared" si="1"/>
        <x:v>37.985287447961298</x:v>
      </x:c>
      <x:c r="L7" s="2">
        <x:f t="shared" si="1"/>
        <x:v>51.009253915952769</x:v>
      </x:c>
    </x:row>
    <x:row r="8" ht="86.0999984741211" customHeight="1">
      <x:c r="A8" s="38"/>
      <x:c r="B8" s="38"/>
      <x:c r="C8" s="38"/>
      <x:c r="D8" s="2" t="n">
        <x:f>D7-$C$7</x:f>
        <x:v>-3.8458180751781015</x:v>
      </x:c>
      <x:c r="E8" s="2" t="n">
        <x:f t="shared" ref="E8:L8" si="2">E7-$C$7</x:f>
        <x:v>4.371870983448503</x:v>
      </x:c>
      <x:c r="F8" s="2">
        <x:f t="shared" si="2"/>
        <x:v>7.6204727967241439</x:v>
      </x:c>
      <x:c r="G8" s="2">
        <x:f t="shared" si="2"/>
        <x:v>-2.2886615976042002</x:v>
      </x:c>
      <x:c r="H8" s="2">
        <x:f t="shared" si="2"/>
        <x:v>0.40965640122850289</x:v>
      </x:c>
      <x:c r="I8" s="2">
        <x:f t="shared" si="2"/>
        <x:v>7.1896234973103788</x:v>
      </x:c>
      <x:c r="J8" s="2">
        <x:f t="shared" si="2"/>
        <x:v>2.2202587662325186</x:v>
      </x:c>
      <x:c r="K8" s="2">
        <x:f t="shared" si="2"/>
        <x:v>6.1252242881804975</x:v>
      </x:c>
      <x:c r="L8" s="2">
        <x:f t="shared" si="2"/>
        <x:v>19.149190756171969</x:v>
      </x:c>
    </x:row>
    <x:row r="9" ht="15.949999809265137">
      <x:c r="A9" s="15"/>
      <x:c r="B9" s="15"/>
      <x:c r="C9" s="16"/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15.949999809265137" customHeight="1">
      <x:c r="A10" s="40" t="s">
        <x:v>35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</x:row>
    <x:row r="11" ht="15.949999809265137">
      <x:c r="A11" s="89" t="s">
        <x:v>62</x:v>
      </x:c>
      <x:c r="B11" s="90"/>
      <x:c r="C11" s="90"/>
      <x:c r="D11" s="90"/>
      <x:c r="E11" s="90"/>
      <x:c r="F11" s="90"/>
      <x:c r="G11" s="90"/>
      <x:c r="H11" s="90"/>
      <x:c r="I11" s="90"/>
      <x:c r="J11" s="90"/>
      <x:c r="K11" s="90"/>
      <x:c r="L11" s="90"/>
    </x:row>
    <x:row r="12" ht="15.949999809265137" customHeight="1">
      <x:c r="A12" s="91" t="s">
        <x:v>58</x:v>
      </x:c>
      <x:c r="B12" s="92"/>
      <x:c r="C12" s="93"/>
      <x:c r="D12" s="34" t="s">
        <x:v>57</x:v>
      </x:c>
      <x:c r="E12" s="34"/>
      <x:c r="F12" s="34"/>
      <x:c r="G12" s="35" t="s">
        <x:v>59</x:v>
      </x:c>
      <x:c r="H12" s="35"/>
      <x:c r="I12" s="86"/>
      <x:c r="J12" s="87" t="s">
        <x:v>60</x:v>
      </x:c>
      <x:c r="K12" s="87"/>
      <x:c r="L12" s="88"/>
    </x:row>
    <x:row r="13" ht="32.099998474121094">
      <x:c r="A13" s="9" t="s">
        <x:v>29</x:v>
      </x:c>
      <x:c r="B13" s="9" t="s">
        <x:v>30</x:v>
      </x:c>
      <x:c r="C13" s="9" t="s">
        <x:v>31</x:v>
      </x:c>
      <x:c r="D13" s="18" t="s">
        <x:v>29</x:v>
      </x:c>
      <x:c r="E13" s="18" t="s">
        <x:v>30</x:v>
      </x:c>
      <x:c r="F13" s="18" t="s">
        <x:v>31</x:v>
      </x:c>
      <x:c r="G13" s="19" t="s">
        <x:v>29</x:v>
      </x:c>
      <x:c r="H13" s="19" t="s">
        <x:v>30</x:v>
      </x:c>
      <x:c r="I13" s="29" t="s">
        <x:v>31</x:v>
      </x:c>
      <x:c r="J13" s="27" t="s">
        <x:v>29</x:v>
      </x:c>
      <x:c r="K13" s="27" t="s">
        <x:v>30</x:v>
      </x:c>
      <x:c r="L13" s="28" t="s">
        <x:v>31</x:v>
      </x:c>
    </x:row>
    <x:row r="14" ht="15.949999809265137">
      <x:c r="A14" s="5">
        <x:v>28.014245084602699</x:v>
      </x:c>
      <x:c r="B14" s="5">
        <x:v>36.231934143229303</x:v>
      </x:c>
      <x:c r="C14" s="5">
        <x:v>39.480535956504944</x:v>
      </x:c>
      <x:c r="D14" s="5">
        <x:v>26.450138604976722</x:v>
      </x:c>
      <x:c r="E14" s="5">
        <x:v>31.8600631597808</x:v>
      </x:c>
      <x:c r="F14" s="5">
        <x:v>41.616647788675664</x:v>
      </x:c>
      <x:c r="G14" s="5">
        <x:v>29.5714015621766</x:v>
      </x:c>
      <x:c r="H14" s="5">
        <x:v>32.269719561009303</x:v>
      </x:c>
      <x:c r="I14" s="5">
        <x:v>39.049686657091179</x:v>
      </x:c>
      <x:c r="J14" s="5">
        <x:v>34.080321926013319</x:v>
      </x:c>
      <x:c r="K14" s="5">
        <x:v>37.985287447961298</x:v>
      </x:c>
      <x:c r="L14" s="5">
        <x:v>51.009253915952769</x:v>
      </x:c>
    </x:row>
    <x:row r="15" ht="15.949999809265137">
      <x:c r="A15" s="24"/>
      <x:c r="B15" s="4"/>
    </x:row>
    <x:row r="16" ht="15.949999809265137">
      <x:c r="A16" s="24"/>
      <x:c r="B16" s="4"/>
    </x:row>
    <x:row r="17" ht="15.949999809265137">
      <x:c r="A17" s="24"/>
      <x:c r="B17" s="4"/>
    </x:row>
    <x:row r="18" ht="15.949999809265137">
      <x:c r="A18" s="24"/>
      <x:c r="B18" s="4"/>
    </x:row>
    <x:row r="19" ht="15.949999809265137">
      <x:c r="A19" s="24"/>
      <x:c r="B19" s="4"/>
    </x:row>
    <x:row r="20" ht="15.949999809265137">
      <x:c r="A20" s="24"/>
      <x:c r="B20" s="4"/>
    </x:row>
    <x:row r="21" ht="15.949999809265137">
      <x:c r="A21" s="24"/>
      <x:c r="B21" s="4"/>
    </x:row>
    <x:row r="22" ht="15.949999809265137">
      <x:c r="A22" s="24"/>
      <x:c r="B22" s="4"/>
    </x:row>
    <x:row r="23" ht="15.949999809265137">
      <x:c r="A23" s="24"/>
      <x:c r="B23" s="4"/>
    </x:row>
    <x:row r="24" ht="15.949999809265137">
      <x:c r="A24" s="24"/>
      <x:c r="B24" s="4"/>
    </x:row>
    <x:row r="25" ht="15.949999809265137">
      <x:c r="A25" s="24"/>
      <x:c r="B25" s="4"/>
    </x:row>
    <x:row r="26" ht="15.949999809265137">
      <x:c r="A26" s="24"/>
      <x:c r="B26" s="4"/>
    </x:row>
    <x:row r="27" ht="15.949999809265137">
      <x:c r="A27" s="24"/>
      <x:c r="B27" s="4"/>
    </x:row>
    <x:row r="28" ht="15.949999809265137">
      <x:c r="A28" s="24"/>
      <x:c r="B28" s="4"/>
    </x:row>
    <x:row r="29" ht="15.949999809265137">
      <x:c r="A29" s="24"/>
      <x:c r="B29" s="4"/>
    </x:row>
    <x:row r="30" ht="15.949999809265137">
      <x:c r="A30" s="24"/>
      <x:c r="B30" s="4"/>
    </x:row>
    <x:row r="57" ht="15.949999809265137">
      <x:c r="H57" s="4"/>
      <x:c r="I57" s="4"/>
      <x:c r="J57" s="4"/>
      <x:c r="K57" s="4"/>
    </x:row>
    <x:row r="58" ht="15.949999809265137">
      <x:c r="H58" s="4"/>
      <x:c r="I58" s="4"/>
      <x:c r="J58" s="4"/>
      <x:c r="K58" s="4"/>
    </x:row>
    <x:row r="59" ht="15.949999809265137">
      <x:c r="H59" s="4"/>
      <x:c r="I59" s="4"/>
      <x:c r="J59" s="4"/>
      <x:c r="K59" s="4"/>
    </x:row>
    <x:row r="60" ht="15.949999809265137">
      <x:c r="H60" s="4"/>
      <x:c r="I60" s="4"/>
      <x:c r="J60" s="4"/>
      <x:c r="K60" s="4"/>
    </x:row>
    <x:row r="61" ht="15.949999809265137">
      <x:c r="H61" s="4"/>
      <x:c r="I61" s="4"/>
      <x:c r="J61" s="4"/>
      <x:c r="K61" s="4"/>
    </x:row>
    <x:row r="62" ht="15.949999809265137">
      <x:c r="H62" s="4"/>
      <x:c r="I62" s="4"/>
      <x:c r="J62" s="4"/>
      <x:c r="K62" s="4"/>
    </x:row>
    <x:row r="63" ht="15.949999809265137">
      <x:c r="H63" s="4"/>
      <x:c r="I63" s="4"/>
      <x:c r="J63" s="4"/>
      <x:c r="K63" s="4"/>
    </x:row>
    <x:row r="64" ht="15.949999809265137">
      <x:c r="H64" s="4"/>
      <x:c r="I64" s="4"/>
      <x:c r="J64" s="4"/>
      <x:c r="K64" s="4"/>
    </x:row>
    <x:row r="65" ht="15.949999809265137">
      <x:c r="H65" s="4"/>
      <x:c r="I65" s="4"/>
      <x:c r="J65" s="4"/>
      <x:c r="K65" s="4"/>
    </x:row>
    <x:row r="66" ht="15.949999809265137">
      <x:c r="H66" s="4"/>
      <x:c r="I66" s="4"/>
      <x:c r="J66" s="4"/>
      <x:c r="K66" s="4"/>
    </x:row>
    <x:row r="67" ht="15.949999809265137">
      <x:c r="H67" s="4"/>
      <x:c r="I67" s="4"/>
      <x:c r="J67" s="4"/>
      <x:c r="K67" s="4"/>
    </x:row>
    <x:row r="68" ht="15.949999809265137">
      <x:c r="H68" s="4"/>
      <x:c r="I68" s="4"/>
      <x:c r="J68" s="4"/>
      <x:c r="K68" s="4"/>
      <x:c r="L68" s="4"/>
    </x:row>
    <x:row r="69" ht="15.949999809265137">
      <x:c r="H69" s="4"/>
      <x:c r="I69" s="4"/>
      <x:c r="J69" s="4"/>
      <x:c r="K69" s="4"/>
      <x:c r="L69" s="4"/>
    </x:row>
    <x:row r="70" ht="15.949999809265137">
      <x:c r="H70" s="4"/>
      <x:c r="I70" s="4"/>
      <x:c r="J70" s="4"/>
      <x:c r="K70" s="4"/>
      <x:c r="L70" s="4"/>
    </x:row>
    <x:row r="71" ht="15.949999809265137">
      <x:c r="H71" s="4"/>
      <x:c r="I71" s="4"/>
      <x:c r="J71" s="4"/>
      <x:c r="K71" s="4"/>
      <x:c r="L71" s="4"/>
    </x:row>
    <x:row r="72" ht="15.949999809265137">
      <x:c r="H72" s="4"/>
      <x:c r="I72" s="4"/>
      <x:c r="J72" s="4"/>
      <x:c r="K72" s="4"/>
      <x:c r="L72" s="4"/>
    </x:row>
    <x:row r="73" ht="15.949999809265137">
      <x:c r="H73" s="4"/>
      <x:c r="I73" s="4"/>
      <x:c r="J73" s="4"/>
      <x:c r="K73" s="4"/>
      <x:c r="L73" s="4"/>
    </x:row>
    <x:row r="74" ht="15.949999809265137">
      <x:c r="H74" s="4"/>
      <x:c r="I74" s="4"/>
      <x:c r="J74" s="4"/>
      <x:c r="K74" s="4"/>
      <x:c r="L74" s="4"/>
    </x:row>
    <x:row r="75" ht="15.949999809265137">
      <x:c r="H75" s="4"/>
      <x:c r="I75" s="4"/>
      <x:c r="J75" s="4"/>
      <x:c r="K75" s="4"/>
      <x:c r="L75" s="4"/>
    </x:row>
    <x:row r="76" ht="15.949999809265137">
      <x:c r="H76" s="4"/>
      <x:c r="I76" s="4"/>
      <x:c r="J76" s="4"/>
      <x:c r="K76" s="4"/>
      <x:c r="L76" s="4"/>
    </x:row>
    <x:row r="77" ht="15.949999809265137">
      <x:c r="H77" s="4"/>
      <x:c r="I77" s="4"/>
      <x:c r="J77" s="4"/>
      <x:c r="K77" s="4"/>
      <x:c r="L77" s="4"/>
    </x:row>
    <x:row r="78" ht="15.949999809265137">
      <x:c r="K78" s="4"/>
      <x:c r="L78" s="4"/>
    </x:row>
    <x:row r="79" ht="15.949999809265137">
      <x:c r="K79" s="4"/>
      <x:c r="L79" s="4"/>
    </x:row>
    <x:row r="80" ht="15.949999809265137">
      <x:c r="K80" s="4"/>
      <x:c r="L80" s="4"/>
    </x:row>
    <x:row r="81" ht="15.949999809265137">
      <x:c r="K81" s="4"/>
      <x:c r="L81" s="4"/>
    </x:row>
    <x:row r="82" ht="15.949999809265137">
      <x:c r="K82" s="4"/>
      <x:c r="L82" s="4"/>
    </x:row>
    <x:row r="83" ht="15.949999809265137">
      <x:c r="K83" s="4"/>
      <x:c r="L83" s="4"/>
    </x:row>
    <x:row r="84" ht="15.949999809265137">
      <x:c r="K84" s="4"/>
      <x:c r="L84" s="4"/>
    </x:row>
    <x:row r="85" ht="15.949999809265137">
      <x:c r="K85" s="4"/>
      <x:c r="L85" s="4"/>
    </x:row>
    <x:row r="86" ht="15.949999809265137">
      <x:c r="K86" s="4"/>
      <x:c r="L86" s="4"/>
    </x:row>
    <x:row r="87" ht="15.949999809265137">
      <x:c r="K87" s="4"/>
      <x:c r="L87" s="4"/>
    </x:row>
    <x:row r="88" ht="15.949999809265137">
      <x:c r="K88" s="4"/>
      <x:c r="L88" s="4"/>
    </x:row>
    <x:row r="89" ht="15.949999809265137">
      <x:c r="K89" s="4"/>
      <x:c r="L89" s="4"/>
    </x:row>
    <x:row r="90" ht="15.949999809265137">
      <x:c r="K90" s="4"/>
      <x:c r="L90" s="4"/>
    </x:row>
    <x:row r="91" ht="15.949999809265137">
      <x:c r="K91" s="4"/>
      <x:c r="L91" s="4"/>
    </x:row>
    <x:row r="92" ht="15.949999809265137">
      <x:c r="K92" s="4"/>
      <x:c r="L92" s="4"/>
    </x:row>
    <x:row r="93" ht="15.949999809265137">
      <x:c r="K93" s="4"/>
      <x:c r="L93" s="4"/>
    </x:row>
    <x:row r="94" ht="15.949999809265137">
      <x:c r="K94" s="4"/>
      <x:c r="L94" s="4"/>
    </x:row>
    <x:row r="95" ht="15.949999809265137">
      <x:c r="K95" s="4"/>
      <x:c r="L95" s="4"/>
    </x:row>
    <x:row r="96" ht="15.949999809265137">
      <x:c r="K96" s="4"/>
      <x:c r="L96" s="4"/>
    </x:row>
    <x:row r="97" ht="15.949999809265137">
      <x:c r="K97" s="4"/>
      <x:c r="L97" s="4"/>
    </x:row>
  </x:sheetData>
  <x:mergeCells>
    <x:mergeCell ref="B4:B6"/>
    <x:mergeCell ref="C4:C6"/>
    <x:mergeCell ref="D4:F4"/>
    <x:mergeCell ref="G4:I4"/>
    <x:mergeCell ref="J4:L4"/>
    <x:mergeCell ref="A2:L2"/>
    <x:mergeCell ref="G12:I12"/>
    <x:mergeCell ref="J12:L12"/>
    <x:mergeCell ref="A11:L11"/>
    <x:mergeCell ref="A10:L10"/>
    <x:mergeCell ref="A12:C12"/>
    <x:mergeCell ref="D12:F12"/>
    <x:mergeCell ref="J5:L5"/>
    <x:mergeCell ref="G5:I5"/>
    <x:mergeCell ref="A7:A8"/>
    <x:mergeCell ref="B7:B8"/>
    <x:mergeCell ref="C7:C8"/>
    <x:mergeCell ref="D3:L3"/>
    <x:mergeCell ref="D5:F5"/>
    <x:mergeCell ref="A3:B3"/>
    <x:mergeCell ref="A4:A6"/>
  </x:mergeCells>
  <x:pageMargins left="0.7" right="0.7" top="0.75" bottom="0.75" header="0.3" footer="0.3"/>
  <x:legacyDrawing xmlns:r="http://schemas.openxmlformats.org/officeDocument/2006/relationships" r:id="Rb1eef266f4444a9a"/>
</x:worksheet>
</file>